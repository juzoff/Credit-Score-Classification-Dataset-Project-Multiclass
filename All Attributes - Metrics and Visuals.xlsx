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vko\Documents\Data Analytics, Big Data, and Predictive Analytics\Personal Project\Credit_Score_Multiclass\GitHub\"/>
    </mc:Choice>
  </mc:AlternateContent>
  <bookViews>
    <workbookView xWindow="0" yWindow="0" windowWidth="19200" windowHeight="7900" activeTab="1"/>
  </bookViews>
  <sheets>
    <sheet name="All Attributes maxd 15" sheetId="3" r:id="rId1"/>
    <sheet name="Visua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3" l="1"/>
  <c r="J39" i="3"/>
  <c r="P39" i="3" s="1"/>
  <c r="P38" i="3"/>
  <c r="J38" i="3"/>
  <c r="J37" i="3"/>
  <c r="P37" i="3" s="1"/>
  <c r="J34" i="3"/>
  <c r="J33" i="3"/>
  <c r="P33" i="3" s="1"/>
  <c r="J32" i="3"/>
  <c r="P32" i="3" s="1"/>
  <c r="J31" i="3"/>
  <c r="P31" i="3" s="1"/>
  <c r="J29" i="3"/>
  <c r="J28" i="3"/>
  <c r="P28" i="3" s="1"/>
  <c r="F28" i="3"/>
  <c r="J27" i="3"/>
  <c r="P27" i="3" s="1"/>
  <c r="J26" i="3"/>
  <c r="P26" i="3" s="1"/>
  <c r="J19" i="3"/>
  <c r="J18" i="3"/>
  <c r="P18" i="3" s="1"/>
  <c r="J17" i="3"/>
  <c r="P17" i="3" s="1"/>
  <c r="J16" i="3"/>
  <c r="P16" i="3" s="1"/>
  <c r="J13" i="3"/>
  <c r="J12" i="3"/>
  <c r="P12" i="3" s="1"/>
  <c r="J11" i="3"/>
  <c r="P11" i="3" s="1"/>
  <c r="P10" i="3"/>
  <c r="J10" i="3"/>
  <c r="J8" i="3"/>
  <c r="J7" i="3"/>
  <c r="P7" i="3" s="1"/>
  <c r="F7" i="3"/>
  <c r="J6" i="3"/>
  <c r="P6" i="3" s="1"/>
  <c r="P5" i="3"/>
  <c r="J5" i="3"/>
  <c r="M5" i="3" s="1"/>
  <c r="M26" i="3" l="1"/>
</calcChain>
</file>

<file path=xl/sharedStrings.xml><?xml version="1.0" encoding="utf-8"?>
<sst xmlns="http://schemas.openxmlformats.org/spreadsheetml/2006/main" count="81" uniqueCount="25">
  <si>
    <t>Standard Test Set - All Attributes - 15 Max Depth</t>
  </si>
  <si>
    <t>Standard - Training Set - All Attributes - 15 Max Depth</t>
  </si>
  <si>
    <t>Precision</t>
  </si>
  <si>
    <t>Specificity</t>
  </si>
  <si>
    <t>Sensitivity</t>
  </si>
  <si>
    <t>Poor Test Set - All Attributes - 15 Max Depth</t>
  </si>
  <si>
    <t>Poor - Training Set - All Attributes - 15 Max Depth</t>
  </si>
  <si>
    <t>Good Test Set - All Attributes - 15 Max Depth</t>
  </si>
  <si>
    <t>Good - Training Set - All Attributes - 15 Max Depth</t>
  </si>
  <si>
    <t>Test Set - All Attributes - 15 Max Depth</t>
  </si>
  <si>
    <t>Training Set - All Attributes - 15 Max Depth</t>
  </si>
  <si>
    <t>Accuracy</t>
  </si>
  <si>
    <t>TRAINING SET</t>
  </si>
  <si>
    <t>Predicted</t>
  </si>
  <si>
    <t>`</t>
  </si>
  <si>
    <t>Good</t>
  </si>
  <si>
    <t>Poor</t>
  </si>
  <si>
    <t>Standard</t>
  </si>
  <si>
    <t>Actual</t>
  </si>
  <si>
    <t>TP</t>
  </si>
  <si>
    <t>Standa</t>
  </si>
  <si>
    <t>TN</t>
  </si>
  <si>
    <t>FP</t>
  </si>
  <si>
    <t>FN</t>
  </si>
  <si>
    <t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</si>
</sst>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0" xfId="0" applyFill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0" fillId="6" borderId="2" xfId="0" applyFill="1" applyBorder="1" applyAlignment="1">
      <alignment horizontal="center" vertical="center"/>
    </xf>
    <xf numFmtId="0" fontId="0" fillId="6" borderId="2" xfId="0" applyFill="1" applyBorder="1"/>
    <xf numFmtId="0" fontId="0" fillId="4" borderId="4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E4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u="sng"/>
              <a:t>Accuracy - All Attributes - Training vs Test Set - 15 M</a:t>
            </a:r>
            <a:r>
              <a:rPr lang="en-US" sz="1600" b="0" u="sng" baseline="0"/>
              <a:t>ax Depth</a:t>
            </a:r>
            <a:endParaRPr lang="en-US" sz="1600" b="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1E4F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Visuals!$A$2:$A$3</c:f>
              <c:strCache>
                <c:ptCount val="2"/>
                <c:pt idx="0">
                  <c:v>Training Set - All Attributes - 15 Max Depth</c:v>
                </c:pt>
                <c:pt idx="1">
                  <c:v>Test Set - All Attributes - 15 Max Depth</c:v>
                </c:pt>
              </c:strCache>
            </c:strRef>
          </c:cat>
          <c:val>
            <c:numRef>
              <c:f>Visuals!$B$2:$B$3</c:f>
              <c:numCache>
                <c:formatCode>0.0000</c:formatCode>
                <c:ptCount val="2"/>
                <c:pt idx="0">
                  <c:v>0.86643999999999999</c:v>
                </c:pt>
                <c:pt idx="1">
                  <c:v>0.83396000000000003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876872832"/>
        <c:axId val="-876873920"/>
      </c:barChart>
      <c:catAx>
        <c:axId val="-87687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76873920"/>
        <c:crosses val="autoZero"/>
        <c:auto val="1"/>
        <c:lblAlgn val="ctr"/>
        <c:lblOffset val="100"/>
        <c:noMultiLvlLbl val="0"/>
      </c:catAx>
      <c:valAx>
        <c:axId val="-8768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7687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u="sng"/>
              <a:t>Good, Poor, Standard Metrics - All Attributes</a:t>
            </a:r>
            <a:r>
              <a:rPr lang="en-US" sz="1600" u="sng" baseline="0"/>
              <a:t> - Training vs Test Set - 15 Max Depth</a:t>
            </a:r>
            <a:endParaRPr lang="en-US" sz="160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Visuals!$B$8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Visuals!$A$9:$A$14</c:f>
              <c:strCache>
                <c:ptCount val="6"/>
                <c:pt idx="0">
                  <c:v>Good - Training Set - All Attributes - 15 Max Depth</c:v>
                </c:pt>
                <c:pt idx="1">
                  <c:v>Good Test Set - All Attributes - 15 Max Depth</c:v>
                </c:pt>
                <c:pt idx="2">
                  <c:v>Poor - Training Set - All Attributes - 15 Max Depth</c:v>
                </c:pt>
                <c:pt idx="3">
                  <c:v>Poor Test Set - All Attributes - 15 Max Depth</c:v>
                </c:pt>
                <c:pt idx="4">
                  <c:v>Standard - Training Set - All Attributes - 15 Max Depth</c:v>
                </c:pt>
                <c:pt idx="5">
                  <c:v>Standard Test Set - All Attributes - 15 Max Depth</c:v>
                </c:pt>
              </c:strCache>
            </c:strRef>
          </c:cat>
          <c:val>
            <c:numRef>
              <c:f>Visuals!$B$9:$B$14</c:f>
              <c:numCache>
                <c:formatCode>0.0000</c:formatCode>
                <c:ptCount val="6"/>
                <c:pt idx="0">
                  <c:v>0.86562499999999998</c:v>
                </c:pt>
                <c:pt idx="1">
                  <c:v>0.818810770381451</c:v>
                </c:pt>
                <c:pt idx="2">
                  <c:v>0.83774038461538458</c:v>
                </c:pt>
                <c:pt idx="3">
                  <c:v>0.79992520568436798</c:v>
                </c:pt>
                <c:pt idx="4">
                  <c:v>0.69559294871794874</c:v>
                </c:pt>
                <c:pt idx="5">
                  <c:v>0.63406881077038146</c:v>
                </c:pt>
              </c:numCache>
            </c:numRef>
          </c:val>
        </c:ser>
        <c:ser>
          <c:idx val="1"/>
          <c:order val="1"/>
          <c:tx>
            <c:strRef>
              <c:f>Visuals!$C$8</c:f>
              <c:strCache>
                <c:ptCount val="1"/>
                <c:pt idx="0">
                  <c:v>Specificity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Visuals!$A$9:$A$14</c:f>
              <c:strCache>
                <c:ptCount val="6"/>
                <c:pt idx="0">
                  <c:v>Good - Training Set - All Attributes - 15 Max Depth</c:v>
                </c:pt>
                <c:pt idx="1">
                  <c:v>Good Test Set - All Attributes - 15 Max Depth</c:v>
                </c:pt>
                <c:pt idx="2">
                  <c:v>Poor - Training Set - All Attributes - 15 Max Depth</c:v>
                </c:pt>
                <c:pt idx="3">
                  <c:v>Poor Test Set - All Attributes - 15 Max Depth</c:v>
                </c:pt>
                <c:pt idx="4">
                  <c:v>Standard - Training Set - All Attributes - 15 Max Depth</c:v>
                </c:pt>
                <c:pt idx="5">
                  <c:v>Standard Test Set - All Attributes - 15 Max Depth</c:v>
                </c:pt>
              </c:strCache>
            </c:strRef>
          </c:cat>
          <c:val>
            <c:numRef>
              <c:f>Visuals!$C$9:$C$14</c:f>
              <c:numCache>
                <c:formatCode>0.0000</c:formatCode>
                <c:ptCount val="6"/>
                <c:pt idx="0">
                  <c:v>0.89463141025641024</c:v>
                </c:pt>
                <c:pt idx="1">
                  <c:v>0.87640239341810022</c:v>
                </c:pt>
                <c:pt idx="2">
                  <c:v>0.91153846153846152</c:v>
                </c:pt>
                <c:pt idx="3">
                  <c:v>0.89145474943904268</c:v>
                </c:pt>
                <c:pt idx="4">
                  <c:v>0.89330929487179489</c:v>
                </c:pt>
                <c:pt idx="5">
                  <c:v>0.85854525056095732</c:v>
                </c:pt>
              </c:numCache>
            </c:numRef>
          </c:val>
        </c:ser>
        <c:ser>
          <c:idx val="2"/>
          <c:order val="2"/>
          <c:tx>
            <c:strRef>
              <c:f>Visuals!$D$8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Visuals!$A$9:$A$14</c:f>
              <c:strCache>
                <c:ptCount val="6"/>
                <c:pt idx="0">
                  <c:v>Good - Training Set - All Attributes - 15 Max Depth</c:v>
                </c:pt>
                <c:pt idx="1">
                  <c:v>Good Test Set - All Attributes - 15 Max Depth</c:v>
                </c:pt>
                <c:pt idx="2">
                  <c:v>Poor - Training Set - All Attributes - 15 Max Depth</c:v>
                </c:pt>
                <c:pt idx="3">
                  <c:v>Poor Test Set - All Attributes - 15 Max Depth</c:v>
                </c:pt>
                <c:pt idx="4">
                  <c:v>Standard - Training Set - All Attributes - 15 Max Depth</c:v>
                </c:pt>
                <c:pt idx="5">
                  <c:v>Standard Test Set - All Attributes - 15 Max Depth</c:v>
                </c:pt>
              </c:strCache>
            </c:strRef>
          </c:cat>
          <c:val>
            <c:numRef>
              <c:f>Visuals!$D$9:$D$14</c:f>
              <c:numCache>
                <c:formatCode>0.0000</c:formatCode>
                <c:ptCount val="6"/>
                <c:pt idx="0">
                  <c:v>0.80421350405717262</c:v>
                </c:pt>
                <c:pt idx="1">
                  <c:v>0.76811085774425536</c:v>
                </c:pt>
                <c:pt idx="2">
                  <c:v>0.82563373608149726</c:v>
                </c:pt>
                <c:pt idx="3">
                  <c:v>0.78654164368450086</c:v>
                </c:pt>
                <c:pt idx="4">
                  <c:v>0.76525035260930885</c:v>
                </c:pt>
                <c:pt idx="5">
                  <c:v>0.69147634584013051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846990016"/>
        <c:axId val="-846992192"/>
      </c:barChart>
      <c:catAx>
        <c:axId val="-84699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6992192"/>
        <c:crosses val="autoZero"/>
        <c:auto val="1"/>
        <c:lblAlgn val="ctr"/>
        <c:lblOffset val="100"/>
        <c:noMultiLvlLbl val="0"/>
      </c:catAx>
      <c:valAx>
        <c:axId val="-8469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69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130174</xdr:colOff>
      <xdr:row>0</xdr:row>
      <xdr:rowOff>155574</xdr:rowOff>
    </xdr:from>
    <xdr:to>
      <xdr:col>18</xdr:col>
      <xdr:colOff>368300</xdr:colOff>
      <xdr:row>17</xdr:row>
      <xdr:rowOff>50799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765174</xdr:colOff>
      <xdr:row>18</xdr:row>
      <xdr:rowOff>161924</xdr:rowOff>
    </xdr:from>
    <xdr:to>
      <xdr:col>9</xdr:col>
      <xdr:colOff>488950</xdr:colOff>
      <xdr:row>39</xdr:row>
      <xdr:rowOff>25400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40"/>
  <sheetViews>
    <sheetView zoomScale="55" zoomScaleNormal="55" workbookViewId="0">
      <selection activeCell="D38" sqref="D38"/>
    </sheetView>
  </sheetViews>
  <sheetFormatPr defaultRowHeight="14.5" x14ac:dyDescent="0.35"/>
  <cols>
    <col min="15" max="15" width="10.26953125" bestFit="1" customWidth="1"/>
  </cols>
  <sheetData>
    <row r="1" spans="1:16" ht="18.5" x14ac:dyDescent="0.45">
      <c r="A1" s="3" t="s">
        <v>12</v>
      </c>
      <c r="B1" s="3"/>
      <c r="C1" s="3"/>
      <c r="D1" s="3"/>
      <c r="E1" s="3"/>
    </row>
    <row r="2" spans="1:16" x14ac:dyDescent="0.35">
      <c r="C2" s="4" t="s">
        <v>13</v>
      </c>
      <c r="D2" s="4"/>
      <c r="E2" s="4"/>
      <c r="J2" t="s">
        <v>14</v>
      </c>
    </row>
    <row r="3" spans="1:16" x14ac:dyDescent="0.35">
      <c r="B3" s="5"/>
      <c r="C3" s="5" t="s">
        <v>15</v>
      </c>
      <c r="D3" s="5" t="s">
        <v>16</v>
      </c>
      <c r="E3" s="5" t="s">
        <v>17</v>
      </c>
    </row>
    <row r="4" spans="1:16" x14ac:dyDescent="0.35">
      <c r="A4" s="6" t="s">
        <v>18</v>
      </c>
      <c r="B4" s="5" t="s">
        <v>15</v>
      </c>
      <c r="C4" s="5">
        <v>10803</v>
      </c>
      <c r="D4" s="5">
        <v>279</v>
      </c>
      <c r="E4" s="5">
        <v>1398</v>
      </c>
    </row>
    <row r="5" spans="1:16" x14ac:dyDescent="0.35">
      <c r="A5" s="6"/>
      <c r="B5" s="5" t="s">
        <v>16</v>
      </c>
      <c r="C5" s="5">
        <v>760</v>
      </c>
      <c r="D5" s="5">
        <v>10455</v>
      </c>
      <c r="E5" s="5">
        <v>1265</v>
      </c>
      <c r="H5" s="7" t="s">
        <v>15</v>
      </c>
      <c r="I5" s="8" t="s">
        <v>19</v>
      </c>
      <c r="J5" s="8">
        <f>C4</f>
        <v>10803</v>
      </c>
      <c r="L5" s="9" t="s">
        <v>11</v>
      </c>
      <c r="M5" s="10">
        <f>(((J5+J6)+(J10+J11)+(J16+J17))/(F7*3))</f>
        <v>0.86643518518518514</v>
      </c>
      <c r="O5" s="8" t="s">
        <v>4</v>
      </c>
      <c r="P5" s="8">
        <f>J5/(J5+J8)</f>
        <v>0.86562499999999998</v>
      </c>
    </row>
    <row r="6" spans="1:16" x14ac:dyDescent="0.35">
      <c r="A6" s="6"/>
      <c r="B6" s="5" t="s">
        <v>20</v>
      </c>
      <c r="C6" s="5">
        <v>1870</v>
      </c>
      <c r="D6" s="5">
        <v>1929</v>
      </c>
      <c r="E6" s="5">
        <v>8681</v>
      </c>
      <c r="H6" s="7"/>
      <c r="I6" s="8" t="s">
        <v>21</v>
      </c>
      <c r="J6" s="8">
        <f>D5+E5+D6+E6</f>
        <v>22330</v>
      </c>
      <c r="L6" s="9"/>
      <c r="M6" s="10"/>
      <c r="O6" s="8" t="s">
        <v>3</v>
      </c>
      <c r="P6" s="8">
        <f>J6/(J6+J7)</f>
        <v>0.89463141025641024</v>
      </c>
    </row>
    <row r="7" spans="1:16" x14ac:dyDescent="0.35">
      <c r="F7" s="11">
        <f>C4+C5+C6+D4+D5+D6+E4+E5+E6</f>
        <v>37440</v>
      </c>
      <c r="H7" s="7"/>
      <c r="I7" s="8" t="s">
        <v>22</v>
      </c>
      <c r="J7" s="8">
        <f>C5+C6</f>
        <v>2630</v>
      </c>
      <c r="L7" s="9"/>
      <c r="M7" s="10"/>
      <c r="O7" s="8" t="s">
        <v>2</v>
      </c>
      <c r="P7" s="8">
        <f>J5/(J5+J7)</f>
        <v>0.80421350405717262</v>
      </c>
    </row>
    <row r="8" spans="1:16" x14ac:dyDescent="0.35">
      <c r="H8" s="7"/>
      <c r="I8" s="8" t="s">
        <v>23</v>
      </c>
      <c r="J8" s="8">
        <f>D4+E4</f>
        <v>1677</v>
      </c>
      <c r="L8" s="9"/>
      <c r="M8" s="10"/>
    </row>
    <row r="9" spans="1:16" x14ac:dyDescent="0.35">
      <c r="L9" s="9"/>
      <c r="M9" s="10"/>
    </row>
    <row r="10" spans="1:16" x14ac:dyDescent="0.35">
      <c r="H10" s="12" t="s">
        <v>16</v>
      </c>
      <c r="I10" s="13" t="s">
        <v>19</v>
      </c>
      <c r="J10" s="13">
        <f>D5</f>
        <v>10455</v>
      </c>
      <c r="L10" s="9"/>
      <c r="M10" s="10"/>
      <c r="O10" s="13" t="s">
        <v>4</v>
      </c>
      <c r="P10" s="13">
        <f>J10/(J10+J13)</f>
        <v>0.83774038461538458</v>
      </c>
    </row>
    <row r="11" spans="1:16" x14ac:dyDescent="0.35">
      <c r="H11" s="12"/>
      <c r="I11" s="13" t="s">
        <v>21</v>
      </c>
      <c r="J11" s="13">
        <f>C4+C6+E4+E6</f>
        <v>22752</v>
      </c>
      <c r="L11" s="9"/>
      <c r="M11" s="10"/>
      <c r="O11" s="13" t="s">
        <v>3</v>
      </c>
      <c r="P11" s="13">
        <f>J11/(J11+J12)</f>
        <v>0.91153846153846152</v>
      </c>
    </row>
    <row r="12" spans="1:16" x14ac:dyDescent="0.35">
      <c r="H12" s="12"/>
      <c r="I12" s="13" t="s">
        <v>22</v>
      </c>
      <c r="J12" s="13">
        <f>D4+D6</f>
        <v>2208</v>
      </c>
      <c r="L12" s="9"/>
      <c r="M12" s="10"/>
      <c r="O12" s="13" t="s">
        <v>2</v>
      </c>
      <c r="P12" s="13">
        <f>J10/(J10+J12)</f>
        <v>0.82563373608149726</v>
      </c>
    </row>
    <row r="13" spans="1:16" x14ac:dyDescent="0.35">
      <c r="H13" s="12"/>
      <c r="I13" s="13" t="s">
        <v>23</v>
      </c>
      <c r="J13" s="13">
        <f>C5+E5</f>
        <v>2025</v>
      </c>
      <c r="L13" s="9"/>
      <c r="M13" s="10"/>
    </row>
    <row r="14" spans="1:16" x14ac:dyDescent="0.35">
      <c r="L14" s="9"/>
      <c r="M14" s="10"/>
    </row>
    <row r="15" spans="1:16" x14ac:dyDescent="0.35">
      <c r="L15" s="9"/>
      <c r="M15" s="10"/>
    </row>
    <row r="16" spans="1:16" x14ac:dyDescent="0.35">
      <c r="H16" s="14" t="s">
        <v>17</v>
      </c>
      <c r="I16" s="15" t="s">
        <v>19</v>
      </c>
      <c r="J16" s="15">
        <f>E6</f>
        <v>8681</v>
      </c>
      <c r="L16" s="9"/>
      <c r="M16" s="10"/>
      <c r="O16" s="15" t="s">
        <v>4</v>
      </c>
      <c r="P16" s="15">
        <f>J16/(J16+J19)</f>
        <v>0.69559294871794874</v>
      </c>
    </row>
    <row r="17" spans="1:16" x14ac:dyDescent="0.35">
      <c r="H17" s="14"/>
      <c r="I17" s="15" t="s">
        <v>21</v>
      </c>
      <c r="J17" s="15">
        <f>C4+D4+C5+D5</f>
        <v>22297</v>
      </c>
      <c r="L17" s="9"/>
      <c r="M17" s="10"/>
      <c r="O17" s="15" t="s">
        <v>3</v>
      </c>
      <c r="P17" s="15">
        <f>J17/(J17+J18)</f>
        <v>0.89330929487179489</v>
      </c>
    </row>
    <row r="18" spans="1:16" x14ac:dyDescent="0.35">
      <c r="H18" s="14"/>
      <c r="I18" s="15" t="s">
        <v>22</v>
      </c>
      <c r="J18" s="15">
        <f>E5+E4</f>
        <v>2663</v>
      </c>
      <c r="L18" s="9"/>
      <c r="M18" s="10"/>
      <c r="O18" s="15" t="s">
        <v>2</v>
      </c>
      <c r="P18" s="15">
        <f>J16/(J16+J18)</f>
        <v>0.76525035260930885</v>
      </c>
    </row>
    <row r="19" spans="1:16" x14ac:dyDescent="0.35">
      <c r="H19" s="14"/>
      <c r="I19" s="15" t="s">
        <v>23</v>
      </c>
      <c r="J19" s="15">
        <f>C6+D6</f>
        <v>3799</v>
      </c>
      <c r="L19" s="9"/>
      <c r="M19" s="10"/>
    </row>
    <row r="22" spans="1:16" ht="18.5" x14ac:dyDescent="0.45">
      <c r="A22" s="3" t="s">
        <v>24</v>
      </c>
      <c r="B22" s="3"/>
      <c r="C22" s="3"/>
      <c r="D22" s="3"/>
      <c r="E22" s="3"/>
    </row>
    <row r="23" spans="1:16" x14ac:dyDescent="0.35">
      <c r="C23" s="4" t="s">
        <v>13</v>
      </c>
      <c r="D23" s="4"/>
      <c r="E23" s="4"/>
    </row>
    <row r="24" spans="1:16" x14ac:dyDescent="0.35">
      <c r="B24" s="5"/>
      <c r="C24" s="5" t="s">
        <v>15</v>
      </c>
      <c r="D24" s="5" t="s">
        <v>16</v>
      </c>
      <c r="E24" s="5" t="s">
        <v>17</v>
      </c>
    </row>
    <row r="25" spans="1:16" x14ac:dyDescent="0.35">
      <c r="A25" s="6" t="s">
        <v>18</v>
      </c>
      <c r="B25" s="5" t="s">
        <v>15</v>
      </c>
      <c r="C25" s="5">
        <v>4379</v>
      </c>
      <c r="D25" s="5">
        <v>154</v>
      </c>
      <c r="E25" s="5">
        <v>815</v>
      </c>
    </row>
    <row r="26" spans="1:16" x14ac:dyDescent="0.35">
      <c r="A26" s="6"/>
      <c r="B26" s="5" t="s">
        <v>16</v>
      </c>
      <c r="C26" s="5">
        <v>372</v>
      </c>
      <c r="D26" s="5">
        <v>4278</v>
      </c>
      <c r="E26" s="5">
        <v>698</v>
      </c>
      <c r="H26" s="16" t="s">
        <v>15</v>
      </c>
      <c r="I26" s="8" t="s">
        <v>19</v>
      </c>
      <c r="J26" s="8">
        <f>C25</f>
        <v>4379</v>
      </c>
      <c r="L26" s="9" t="s">
        <v>11</v>
      </c>
      <c r="M26" s="9">
        <f>(((J26+J27)+(J31+J32)+(J37+J38))/(F28*3))</f>
        <v>0.83395661929693343</v>
      </c>
      <c r="O26" s="8" t="s">
        <v>4</v>
      </c>
      <c r="P26" s="17">
        <f>J26/(J26+J29)</f>
        <v>0.818810770381451</v>
      </c>
    </row>
    <row r="27" spans="1:16" x14ac:dyDescent="0.35">
      <c r="A27" s="6"/>
      <c r="B27" s="5" t="s">
        <v>20</v>
      </c>
      <c r="C27" s="5">
        <v>950</v>
      </c>
      <c r="D27" s="5">
        <v>1007</v>
      </c>
      <c r="E27" s="5">
        <v>3391</v>
      </c>
      <c r="H27" s="18"/>
      <c r="I27" s="8" t="s">
        <v>21</v>
      </c>
      <c r="J27" s="8">
        <f>D26+E26+D27+E27</f>
        <v>9374</v>
      </c>
      <c r="L27" s="9"/>
      <c r="M27" s="9"/>
      <c r="O27" s="8" t="s">
        <v>3</v>
      </c>
      <c r="P27" s="17">
        <f>J27/(J27+J28)</f>
        <v>0.87640239341810022</v>
      </c>
    </row>
    <row r="28" spans="1:16" x14ac:dyDescent="0.35">
      <c r="F28" s="11">
        <f>C25+C26+C27+D25+D26+D27+E25+E26+E27</f>
        <v>16044</v>
      </c>
      <c r="H28" s="18"/>
      <c r="I28" s="8" t="s">
        <v>22</v>
      </c>
      <c r="J28" s="8">
        <f>C26+C27</f>
        <v>1322</v>
      </c>
      <c r="L28" s="9"/>
      <c r="M28" s="9"/>
      <c r="O28" s="8" t="s">
        <v>2</v>
      </c>
      <c r="P28" s="17">
        <f>J26/(J26+J28)</f>
        <v>0.76811085774425536</v>
      </c>
    </row>
    <row r="29" spans="1:16" x14ac:dyDescent="0.35">
      <c r="H29" s="19"/>
      <c r="I29" s="8" t="s">
        <v>23</v>
      </c>
      <c r="J29" s="8">
        <f>D25+E25</f>
        <v>969</v>
      </c>
      <c r="L29" s="9"/>
      <c r="M29" s="9"/>
    </row>
    <row r="30" spans="1:16" x14ac:dyDescent="0.35">
      <c r="L30" s="9"/>
      <c r="M30" s="9"/>
    </row>
    <row r="31" spans="1:16" x14ac:dyDescent="0.35">
      <c r="H31" s="20" t="s">
        <v>16</v>
      </c>
      <c r="I31" s="13" t="s">
        <v>19</v>
      </c>
      <c r="J31" s="13">
        <f>D26</f>
        <v>4278</v>
      </c>
      <c r="L31" s="9"/>
      <c r="M31" s="9"/>
      <c r="O31" s="13" t="s">
        <v>4</v>
      </c>
      <c r="P31" s="13">
        <f>J31/(J31+J34)</f>
        <v>0.79992520568436798</v>
      </c>
    </row>
    <row r="32" spans="1:16" x14ac:dyDescent="0.35">
      <c r="H32" s="21"/>
      <c r="I32" s="13" t="s">
        <v>21</v>
      </c>
      <c r="J32" s="13">
        <f>C25+C27+E25+E27</f>
        <v>9535</v>
      </c>
      <c r="L32" s="9"/>
      <c r="M32" s="9"/>
      <c r="O32" s="13" t="s">
        <v>3</v>
      </c>
      <c r="P32" s="13">
        <f>J32/(J32+J33)</f>
        <v>0.89145474943904268</v>
      </c>
    </row>
    <row r="33" spans="8:16" x14ac:dyDescent="0.35">
      <c r="H33" s="21"/>
      <c r="I33" s="13" t="s">
        <v>22</v>
      </c>
      <c r="J33" s="13">
        <f>D25+D27</f>
        <v>1161</v>
      </c>
      <c r="L33" s="9"/>
      <c r="M33" s="9"/>
      <c r="O33" s="13" t="s">
        <v>2</v>
      </c>
      <c r="P33" s="13">
        <f>J31/(J31+J33)</f>
        <v>0.78654164368450086</v>
      </c>
    </row>
    <row r="34" spans="8:16" x14ac:dyDescent="0.35">
      <c r="H34" s="22"/>
      <c r="I34" s="13" t="s">
        <v>23</v>
      </c>
      <c r="J34" s="13">
        <f>C26+E26</f>
        <v>1070</v>
      </c>
      <c r="L34" s="9"/>
      <c r="M34" s="9"/>
    </row>
    <row r="35" spans="8:16" x14ac:dyDescent="0.35">
      <c r="L35" s="9"/>
      <c r="M35" s="9"/>
    </row>
    <row r="36" spans="8:16" x14ac:dyDescent="0.35">
      <c r="L36" s="9"/>
      <c r="M36" s="9"/>
    </row>
    <row r="37" spans="8:16" x14ac:dyDescent="0.35">
      <c r="H37" s="23" t="s">
        <v>17</v>
      </c>
      <c r="I37" s="15" t="s">
        <v>19</v>
      </c>
      <c r="J37" s="15">
        <f>E27</f>
        <v>3391</v>
      </c>
      <c r="L37" s="9"/>
      <c r="M37" s="9"/>
      <c r="O37" s="15" t="s">
        <v>4</v>
      </c>
      <c r="P37" s="15">
        <f>J37/(J37+J40)</f>
        <v>0.63406881077038146</v>
      </c>
    </row>
    <row r="38" spans="8:16" x14ac:dyDescent="0.35">
      <c r="H38" s="24"/>
      <c r="I38" s="15" t="s">
        <v>21</v>
      </c>
      <c r="J38" s="15">
        <f>C25+D25+C26+D26</f>
        <v>9183</v>
      </c>
      <c r="L38" s="9"/>
      <c r="M38" s="9"/>
      <c r="O38" s="15" t="s">
        <v>3</v>
      </c>
      <c r="P38" s="15">
        <f>J38/(J38+J39)</f>
        <v>0.85854525056095732</v>
      </c>
    </row>
    <row r="39" spans="8:16" x14ac:dyDescent="0.35">
      <c r="H39" s="24"/>
      <c r="I39" s="15" t="s">
        <v>22</v>
      </c>
      <c r="J39" s="15">
        <f>E26+E25</f>
        <v>1513</v>
      </c>
      <c r="L39" s="9"/>
      <c r="M39" s="9"/>
      <c r="O39" s="15" t="s">
        <v>2</v>
      </c>
      <c r="P39" s="15">
        <f>J37/(J37+J39)</f>
        <v>0.69147634584013051</v>
      </c>
    </row>
    <row r="40" spans="8:16" x14ac:dyDescent="0.35">
      <c r="H40" s="25"/>
      <c r="I40" s="15" t="s">
        <v>23</v>
      </c>
      <c r="J40" s="15">
        <f>C27+D27</f>
        <v>1957</v>
      </c>
      <c r="L40" s="9"/>
      <c r="M40" s="9"/>
    </row>
  </sheetData>
  <mergeCells count="16">
    <mergeCell ref="A22:E22"/>
    <mergeCell ref="C23:E23"/>
    <mergeCell ref="A25:A27"/>
    <mergeCell ref="H26:H29"/>
    <mergeCell ref="L26:L40"/>
    <mergeCell ref="M26:M40"/>
    <mergeCell ref="H31:H34"/>
    <mergeCell ref="H37:H40"/>
    <mergeCell ref="A1:E1"/>
    <mergeCell ref="C2:E2"/>
    <mergeCell ref="A4:A6"/>
    <mergeCell ref="H5:H8"/>
    <mergeCell ref="L5:L19"/>
    <mergeCell ref="M5:M19"/>
    <mergeCell ref="H10:H13"/>
    <mergeCell ref="H16:H1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U18" sqref="U18"/>
    </sheetView>
  </sheetViews>
  <sheetFormatPr defaultRowHeight="14.5" x14ac:dyDescent="0.35"/>
  <cols>
    <col min="1" max="1" width="56" bestFit="1" customWidth="1"/>
    <col min="2" max="2" width="14.1796875" bestFit="1" customWidth="1"/>
  </cols>
  <sheetData>
    <row r="1" spans="1:4" x14ac:dyDescent="0.35">
      <c r="B1" s="2" t="s">
        <v>11</v>
      </c>
    </row>
    <row r="2" spans="1:4" x14ac:dyDescent="0.35">
      <c r="A2" t="s">
        <v>10</v>
      </c>
      <c r="B2" s="1">
        <v>0.86643999999999999</v>
      </c>
    </row>
    <row r="3" spans="1:4" x14ac:dyDescent="0.35">
      <c r="A3" t="s">
        <v>9</v>
      </c>
      <c r="B3" s="1">
        <v>0.83396000000000003</v>
      </c>
    </row>
    <row r="8" spans="1:4" x14ac:dyDescent="0.35">
      <c r="B8" t="s">
        <v>4</v>
      </c>
      <c r="C8" t="s">
        <v>3</v>
      </c>
      <c r="D8" t="s">
        <v>2</v>
      </c>
    </row>
    <row r="9" spans="1:4" x14ac:dyDescent="0.35">
      <c r="A9" t="s">
        <v>8</v>
      </c>
      <c r="B9" s="1">
        <v>0.86562499999999998</v>
      </c>
      <c r="C9" s="1">
        <v>0.89463141025641024</v>
      </c>
      <c r="D9" s="1">
        <v>0.80421350405717262</v>
      </c>
    </row>
    <row r="10" spans="1:4" x14ac:dyDescent="0.35">
      <c r="A10" t="s">
        <v>7</v>
      </c>
      <c r="B10" s="1">
        <v>0.818810770381451</v>
      </c>
      <c r="C10" s="1">
        <v>0.87640239341810022</v>
      </c>
      <c r="D10" s="1">
        <v>0.76811085774425536</v>
      </c>
    </row>
    <row r="11" spans="1:4" x14ac:dyDescent="0.35">
      <c r="A11" t="s">
        <v>6</v>
      </c>
      <c r="B11" s="1">
        <v>0.83774038461538458</v>
      </c>
      <c r="C11" s="1">
        <v>0.91153846153846152</v>
      </c>
      <c r="D11" s="1">
        <v>0.82563373608149726</v>
      </c>
    </row>
    <row r="12" spans="1:4" x14ac:dyDescent="0.35">
      <c r="A12" t="s">
        <v>5</v>
      </c>
      <c r="B12" s="1">
        <v>0.79992520568436798</v>
      </c>
      <c r="C12" s="1">
        <v>0.89145474943904268</v>
      </c>
      <c r="D12" s="1">
        <v>0.78654164368450086</v>
      </c>
    </row>
    <row r="13" spans="1:4" x14ac:dyDescent="0.35">
      <c r="A13" t="s">
        <v>1</v>
      </c>
      <c r="B13" s="1">
        <v>0.69559294871794874</v>
      </c>
      <c r="C13" s="1">
        <v>0.89330929487179489</v>
      </c>
      <c r="D13" s="1">
        <v>0.76525035260930885</v>
      </c>
    </row>
    <row r="14" spans="1:4" x14ac:dyDescent="0.35">
      <c r="A14" t="s">
        <v>0</v>
      </c>
      <c r="B14" s="1">
        <v>0.63406881077038146</v>
      </c>
      <c r="C14" s="1">
        <v>0.85854525056095732</v>
      </c>
      <c r="D14" s="1">
        <v>0.69147634584013051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Attributes maxd 15</vt:lpstr>
      <vt:lpstr>Visuals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Jivko Uzoff</dc:creator>
  <cp:lastModifiedBy>Jivko Uzoff</cp:lastModifiedBy>
  <dcterms:created xsi:type="dcterms:W3CDTF">2024-11-29T20:33:56Z</dcterms:created>
  <dcterms:modified xsi:type="dcterms:W3CDTF">2024-11-29T20:44:04Z</dcterms:modified>
</cp:coreProperties>
</file>