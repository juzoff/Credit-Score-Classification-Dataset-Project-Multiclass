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vko\Documents\Data Analytics, Big Data, and Predictive Analytics\Personal Project\Credit_Score_Multiclass\GitHub\"/>
    </mc:Choice>
  </mc:AlternateContent>
  <bookViews>
    <workbookView xWindow="0" yWindow="0" windowWidth="9580" windowHeight="7560" activeTab="2"/>
  </bookViews>
  <sheets>
    <sheet name="All Attributes maxd 15" sheetId="7" r:id="rId1"/>
    <sheet name="All Attributes maxd 18" sheetId="1" r:id="rId2"/>
    <sheet name="All Attributes maxd 18 - binned" sheetId="5" r:id="rId3"/>
    <sheet name=" Selected Attributes maxd15" sheetId="6" r:id="rId4"/>
    <sheet name="Selected Attributes md 18" sheetId="2" r:id="rId5"/>
    <sheet name="Selected Attr md 18 - binned" sheetId="4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J5" i="7"/>
  <c r="P5" i="7"/>
  <c r="J6" i="7"/>
  <c r="M5" i="7" s="1"/>
  <c r="F7" i="7"/>
  <c r="J7" i="7"/>
  <c r="P6" i="7" s="1"/>
  <c r="P7" i="7"/>
  <c r="J8" i="7"/>
  <c r="J10" i="7"/>
  <c r="J11" i="7"/>
  <c r="J12" i="7"/>
  <c r="P11" i="7" s="1"/>
  <c r="P12" i="7"/>
  <c r="J13" i="7"/>
  <c r="P10" i="7" s="1"/>
  <c r="J16" i="7"/>
  <c r="J17" i="7"/>
  <c r="P17" i="7" s="1"/>
  <c r="J18" i="7"/>
  <c r="P18" i="7"/>
  <c r="J19" i="7"/>
  <c r="P16" i="7" s="1"/>
  <c r="J26" i="7"/>
  <c r="M26" i="7" s="1"/>
  <c r="J27" i="7"/>
  <c r="P27" i="7" s="1"/>
  <c r="F28" i="7"/>
  <c r="J28" i="7"/>
  <c r="J29" i="7"/>
  <c r="J31" i="7"/>
  <c r="J32" i="7"/>
  <c r="P32" i="7" s="1"/>
  <c r="J33" i="7"/>
  <c r="P33" i="7"/>
  <c r="J34" i="7"/>
  <c r="P31" i="7" s="1"/>
  <c r="J37" i="7"/>
  <c r="P37" i="7" s="1"/>
  <c r="J38" i="7"/>
  <c r="P38" i="7"/>
  <c r="J39" i="7"/>
  <c r="J40" i="7"/>
  <c r="J5" i="6"/>
  <c r="P7" i="6" s="1"/>
  <c r="P5" i="6"/>
  <c r="J6" i="6"/>
  <c r="F7" i="6"/>
  <c r="J7" i="6"/>
  <c r="P6" i="6" s="1"/>
  <c r="J8" i="6"/>
  <c r="J10" i="6"/>
  <c r="P12" i="6" s="1"/>
  <c r="P10" i="6"/>
  <c r="J11" i="6"/>
  <c r="J12" i="6"/>
  <c r="P11" i="6" s="1"/>
  <c r="J13" i="6"/>
  <c r="J16" i="6"/>
  <c r="P18" i="6" s="1"/>
  <c r="P16" i="6"/>
  <c r="J17" i="6"/>
  <c r="P17" i="6" s="1"/>
  <c r="J18" i="6"/>
  <c r="J19" i="6"/>
  <c r="J26" i="6"/>
  <c r="P28" i="6" s="1"/>
  <c r="P26" i="6"/>
  <c r="J27" i="6"/>
  <c r="P27" i="6" s="1"/>
  <c r="F28" i="6"/>
  <c r="J28" i="6"/>
  <c r="J29" i="6"/>
  <c r="J31" i="6"/>
  <c r="P33" i="6" s="1"/>
  <c r="P31" i="6"/>
  <c r="J32" i="6"/>
  <c r="P32" i="6" s="1"/>
  <c r="J33" i="6"/>
  <c r="J34" i="6"/>
  <c r="J37" i="6"/>
  <c r="P39" i="6" s="1"/>
  <c r="P37" i="6"/>
  <c r="J38" i="6"/>
  <c r="P38" i="6"/>
  <c r="J39" i="6"/>
  <c r="J40" i="6"/>
  <c r="P39" i="7" l="1"/>
  <c r="P28" i="7"/>
  <c r="P26" i="7"/>
  <c r="M5" i="6"/>
  <c r="M26" i="6"/>
  <c r="J40" i="5"/>
  <c r="P37" i="5" s="1"/>
  <c r="J39" i="5"/>
  <c r="J38" i="5"/>
  <c r="J37" i="5"/>
  <c r="J34" i="5"/>
  <c r="J33" i="5"/>
  <c r="J32" i="5"/>
  <c r="P32" i="5" s="1"/>
  <c r="J31" i="5"/>
  <c r="P33" i="5" s="1"/>
  <c r="J29" i="5"/>
  <c r="J28" i="5"/>
  <c r="F28" i="5"/>
  <c r="J27" i="5"/>
  <c r="P27" i="5" s="1"/>
  <c r="J26" i="5"/>
  <c r="P28" i="5" s="1"/>
  <c r="J19" i="5"/>
  <c r="J18" i="5"/>
  <c r="J17" i="5"/>
  <c r="P17" i="5" s="1"/>
  <c r="J16" i="5"/>
  <c r="P16" i="5" s="1"/>
  <c r="J13" i="5"/>
  <c r="J12" i="5"/>
  <c r="J11" i="5"/>
  <c r="J10" i="5"/>
  <c r="P10" i="5" s="1"/>
  <c r="J8" i="5"/>
  <c r="J7" i="5"/>
  <c r="F7" i="5"/>
  <c r="J6" i="5"/>
  <c r="P6" i="5" s="1"/>
  <c r="J5" i="5"/>
  <c r="P7" i="5" s="1"/>
  <c r="P39" i="5" l="1"/>
  <c r="P38" i="5"/>
  <c r="P26" i="5"/>
  <c r="M26" i="5"/>
  <c r="P11" i="5"/>
  <c r="P31" i="5"/>
  <c r="P5" i="5"/>
  <c r="P18" i="5"/>
  <c r="P12" i="5"/>
  <c r="M5" i="5"/>
  <c r="J40" i="4"/>
  <c r="J39" i="4"/>
  <c r="P39" i="4" s="1"/>
  <c r="J38" i="4"/>
  <c r="J37" i="4"/>
  <c r="P37" i="4" s="1"/>
  <c r="J34" i="4"/>
  <c r="J33" i="4"/>
  <c r="J32" i="4"/>
  <c r="J31" i="4"/>
  <c r="J29" i="4"/>
  <c r="J28" i="4"/>
  <c r="F28" i="4"/>
  <c r="J27" i="4"/>
  <c r="P27" i="4" s="1"/>
  <c r="J26" i="4"/>
  <c r="P28" i="4" s="1"/>
  <c r="J19" i="4"/>
  <c r="J18" i="4"/>
  <c r="J17" i="4"/>
  <c r="J16" i="4"/>
  <c r="J13" i="4"/>
  <c r="J12" i="4"/>
  <c r="J11" i="4"/>
  <c r="P11" i="4" s="1"/>
  <c r="J10" i="4"/>
  <c r="P12" i="4" s="1"/>
  <c r="J8" i="4"/>
  <c r="J7" i="4"/>
  <c r="F7" i="4"/>
  <c r="J6" i="4"/>
  <c r="P6" i="4" s="1"/>
  <c r="J5" i="4"/>
  <c r="P7" i="4" s="1"/>
  <c r="M5" i="2"/>
  <c r="J40" i="2"/>
  <c r="J39" i="2"/>
  <c r="J38" i="2"/>
  <c r="P38" i="2" s="1"/>
  <c r="J37" i="2"/>
  <c r="P39" i="2" s="1"/>
  <c r="J34" i="2"/>
  <c r="J33" i="2"/>
  <c r="P32" i="2"/>
  <c r="J32" i="2"/>
  <c r="J31" i="2"/>
  <c r="P33" i="2" s="1"/>
  <c r="J29" i="2"/>
  <c r="P28" i="2"/>
  <c r="J28" i="2"/>
  <c r="F28" i="2"/>
  <c r="P27" i="2"/>
  <c r="J27" i="2"/>
  <c r="J26" i="2"/>
  <c r="P26" i="2" s="1"/>
  <c r="J19" i="2"/>
  <c r="J18" i="2"/>
  <c r="P17" i="2"/>
  <c r="J17" i="2"/>
  <c r="J16" i="2"/>
  <c r="P18" i="2" s="1"/>
  <c r="J13" i="2"/>
  <c r="P12" i="2"/>
  <c r="J12" i="2"/>
  <c r="J11" i="2"/>
  <c r="P11" i="2" s="1"/>
  <c r="J10" i="2"/>
  <c r="P10" i="2" s="1"/>
  <c r="J8" i="2"/>
  <c r="J7" i="2"/>
  <c r="P7" i="2" s="1"/>
  <c r="F7" i="2"/>
  <c r="J6" i="2"/>
  <c r="P6" i="2" s="1"/>
  <c r="J5" i="2"/>
  <c r="P5" i="2" s="1"/>
  <c r="J40" i="1"/>
  <c r="J39" i="1"/>
  <c r="P38" i="1"/>
  <c r="J38" i="1"/>
  <c r="J37" i="1"/>
  <c r="P39" i="1" s="1"/>
  <c r="J34" i="1"/>
  <c r="J33" i="1"/>
  <c r="J32" i="1"/>
  <c r="P32" i="1" s="1"/>
  <c r="J31" i="1"/>
  <c r="P33" i="1" s="1"/>
  <c r="J29" i="1"/>
  <c r="P28" i="1"/>
  <c r="J28" i="1"/>
  <c r="F28" i="1"/>
  <c r="J27" i="1"/>
  <c r="P27" i="1" s="1"/>
  <c r="J26" i="1"/>
  <c r="M26" i="1" s="1"/>
  <c r="J19" i="1"/>
  <c r="J18" i="1"/>
  <c r="J17" i="1"/>
  <c r="P17" i="1" s="1"/>
  <c r="J16" i="1"/>
  <c r="P18" i="1" s="1"/>
  <c r="J13" i="1"/>
  <c r="P10" i="1" s="1"/>
  <c r="P12" i="1"/>
  <c r="J12" i="1"/>
  <c r="P11" i="1"/>
  <c r="J11" i="1"/>
  <c r="J10" i="1"/>
  <c r="J8" i="1"/>
  <c r="J7" i="1"/>
  <c r="P6" i="1" s="1"/>
  <c r="F7" i="1"/>
  <c r="J6" i="1"/>
  <c r="J5" i="1"/>
  <c r="P5" i="1" s="1"/>
  <c r="P38" i="4" l="1"/>
  <c r="P32" i="4"/>
  <c r="P33" i="4"/>
  <c r="M26" i="4"/>
  <c r="P26" i="4"/>
  <c r="P18" i="4"/>
  <c r="P17" i="4"/>
  <c r="M5" i="4"/>
  <c r="P16" i="4"/>
  <c r="P31" i="4"/>
  <c r="P5" i="4"/>
  <c r="P10" i="4"/>
  <c r="M26" i="2"/>
  <c r="P37" i="2"/>
  <c r="P16" i="2"/>
  <c r="P31" i="2"/>
  <c r="P7" i="1"/>
  <c r="P37" i="1"/>
  <c r="P16" i="1"/>
  <c r="P26" i="1"/>
  <c r="P31" i="1"/>
</calcChain>
</file>

<file path=xl/sharedStrings.xml><?xml version="1.0" encoding="utf-8"?>
<sst xmlns="http://schemas.openxmlformats.org/spreadsheetml/2006/main" count="409" uniqueCount="19">
  <si>
    <t>TRAINING</t>
  </si>
  <si>
    <t>Predicted</t>
  </si>
  <si>
    <t>Good</t>
  </si>
  <si>
    <t>Poor</t>
  </si>
  <si>
    <t>Standa</t>
  </si>
  <si>
    <t>Actual</t>
  </si>
  <si>
    <t>TP</t>
  </si>
  <si>
    <t>Accuracy</t>
  </si>
  <si>
    <t>Sensitivity</t>
  </si>
  <si>
    <t>TN</t>
  </si>
  <si>
    <t>Specificity</t>
  </si>
  <si>
    <t>FP</t>
  </si>
  <si>
    <t>Precision</t>
  </si>
  <si>
    <t>FN</t>
  </si>
  <si>
    <t>TEST</t>
  </si>
  <si>
    <t>Standard</t>
  </si>
  <si>
    <t>TEST SET</t>
  </si>
  <si>
    <t>`</t>
  </si>
  <si>
    <t>TRAINING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</si>
</sst>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/>
    <xf numFmtId="0" fontId="0" fillId="4" borderId="0" xfId="0" applyFill="1"/>
    <xf numFmtId="0" fontId="0" fillId="0" borderId="2" xfId="0" applyFont="1" applyBorder="1"/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/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2" xfId="0" applyFill="1" applyBorder="1"/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2" xfId="0" applyFill="1" applyBorder="1"/>
    <xf numFmtId="0" fontId="0" fillId="7" borderId="4" xfId="0" applyFill="1" applyBorder="1" applyAlignment="1">
      <alignment horizontal="center" vertical="center"/>
    </xf>
    <xf numFmtId="0" fontId="0" fillId="7" borderId="7" xfId="0" applyFill="1" applyBorder="1"/>
    <xf numFmtId="0" fontId="0" fillId="7" borderId="5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485588</xdr:colOff>
      <xdr:row>7</xdr:row>
      <xdr:rowOff>44824</xdr:rowOff>
    </xdr:from>
    <xdr:to>
      <xdr:col>5</xdr:col>
      <xdr:colOff>418353</xdr:colOff>
      <xdr:row>17</xdr:row>
      <xdr:rowOff>82176</xdr:rowOff>
    </xdr:to>
    <xdr:sp macro="" textlink="">
      <xdr:nvSpPr>
        <xdr:cNvPr id="7" name="Explosion 2 6"/>
        <xdr:cNvSpPr/>
      </xdr:nvSpPr>
      <xdr:spPr>
        <a:xfrm>
          <a:off x="485588" y="1397000"/>
          <a:ext cx="2995706" cy="1905000"/>
        </a:xfrm>
        <a:prstGeom prst="irregularSeal2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SELECTED</a:t>
          </a:r>
          <a:r>
            <a:rPr lang="en-US" sz="1600" baseline="0"/>
            <a:t> ATTRIBUTES MODEL</a:t>
          </a:r>
          <a:endParaRPr lang="en-US" sz="1600"/>
        </a:p>
      </xdr:txBody>
    </xdr:sp>
    <xdr:clientData/>
  </xdr:twoCellAnchor>
  <xdr:twoCellAnchor>
    <xdr:from>
      <xdr:col>0</xdr:col>
      <xdr:colOff>298824</xdr:colOff>
      <xdr:row>29</xdr:row>
      <xdr:rowOff>134470</xdr:rowOff>
    </xdr:from>
    <xdr:to>
      <xdr:col>5</xdr:col>
      <xdr:colOff>231589</xdr:colOff>
      <xdr:row>39</xdr:row>
      <xdr:rowOff>171823</xdr:rowOff>
    </xdr:to>
    <xdr:sp macro="" textlink="">
      <xdr:nvSpPr>
        <xdr:cNvPr id="8" name="Explosion 2 7"/>
        <xdr:cNvSpPr/>
      </xdr:nvSpPr>
      <xdr:spPr>
        <a:xfrm>
          <a:off x="298824" y="5640294"/>
          <a:ext cx="2995706" cy="1905000"/>
        </a:xfrm>
        <a:prstGeom prst="irregularSeal2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SELECTED</a:t>
          </a:r>
          <a:r>
            <a:rPr lang="en-US" sz="1600" baseline="0"/>
            <a:t> ATTRIBUTES MODEL</a:t>
          </a:r>
          <a:endParaRPr 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170137</xdr:colOff>
      <xdr:row>9</xdr:row>
      <xdr:rowOff>35690</xdr:rowOff>
    </xdr:from>
    <xdr:to>
      <xdr:col>5</xdr:col>
      <xdr:colOff>366987</xdr:colOff>
      <xdr:row>19</xdr:row>
      <xdr:rowOff>29999</xdr:rowOff>
    </xdr:to>
    <xdr:sp macro="" textlink="">
      <xdr:nvSpPr>
        <xdr:cNvPr id="2" name="TextBox 1"/>
        <xdr:cNvSpPr txBox="1"/>
      </xdr:nvSpPr>
      <xdr:spPr>
        <a:xfrm>
          <a:off x="170137" y="1693040"/>
          <a:ext cx="3244850" cy="1835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MAXDEPTH = 18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Total_EMI_per_Month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Amount_Invested_Monthly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and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Monthly_Balance, Payment Behvior,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Credit_Utilization_Ratio, Last_Loan_9, Num_of_Loan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/>
            <a:t>Last_Loan_7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/>
            <a:t>Last_Loan_8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/>
            <a:t>Last_Loan_6</a:t>
          </a:r>
        </a:p>
        <a:p>
          <a:r>
            <a:rPr lang="en-US" b="0"/>
            <a:t>removed</a:t>
          </a:r>
          <a:endParaRPr lang="en-US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P40"/>
  <sheetViews>
    <sheetView zoomScale="55" zoomScaleNormal="55" workbookViewId="0">
      <selection activeCell="M5" sqref="M5:M19"/>
    </sheetView>
  </sheetViews>
  <sheetFormatPr defaultRowHeight="14.5" x14ac:dyDescent="0.35"/>
  <cols>
    <col min="15" max="15" width="10.26953125" bestFit="1" customWidth="1"/>
  </cols>
  <sheetData>
    <row r="1" spans="1:16" ht="18.5" x14ac:dyDescent="0.45">
      <c r="A1" s="24" t="s">
        <v>18</v>
      </c>
      <c r="B1" s="24"/>
      <c r="C1" s="24"/>
      <c r="D1" s="24"/>
      <c r="E1" s="24"/>
    </row>
    <row r="2" spans="1:16" x14ac:dyDescent="0.35">
      <c r="C2" s="4" t="s">
        <v>1</v>
      </c>
      <c r="D2" s="4"/>
      <c r="E2" s="4"/>
      <c r="J2" t="s">
        <v>17</v>
      </c>
    </row>
    <row r="3" spans="1:16" x14ac:dyDescent="0.35">
      <c r="B3" s="1"/>
      <c r="C3" s="1" t="s">
        <v>2</v>
      </c>
      <c r="D3" s="1" t="s">
        <v>3</v>
      </c>
      <c r="E3" s="1" t="s">
        <v>15</v>
      </c>
    </row>
    <row r="4" spans="1:16" x14ac:dyDescent="0.35">
      <c r="A4" s="22" t="s">
        <v>5</v>
      </c>
      <c r="B4" s="1" t="s">
        <v>2</v>
      </c>
      <c r="C4" s="1">
        <v>10803</v>
      </c>
      <c r="D4" s="1">
        <v>279</v>
      </c>
      <c r="E4" s="1">
        <v>1398</v>
      </c>
    </row>
    <row r="5" spans="1:16" x14ac:dyDescent="0.35">
      <c r="A5" s="22"/>
      <c r="B5" s="1" t="s">
        <v>3</v>
      </c>
      <c r="C5" s="1">
        <v>760</v>
      </c>
      <c r="D5" s="1">
        <v>10455</v>
      </c>
      <c r="E5" s="1">
        <v>1265</v>
      </c>
      <c r="H5" s="28" t="s">
        <v>2</v>
      </c>
      <c r="I5" s="17" t="s">
        <v>6</v>
      </c>
      <c r="J5" s="17">
        <f>C4</f>
        <v>10803</v>
      </c>
      <c r="L5" s="8" t="s">
        <v>7</v>
      </c>
      <c r="M5" s="25">
        <f>(((J5+J6)+(J10+J11)+(J16+J17))/(F7*3))</f>
        <v>0.86643518518518514</v>
      </c>
      <c r="O5" s="17" t="s">
        <v>8</v>
      </c>
      <c r="P5" s="17">
        <f>J5/(J5+J8)</f>
        <v>0.86562499999999998</v>
      </c>
    </row>
    <row r="6" spans="1:16" x14ac:dyDescent="0.35">
      <c r="A6" s="22"/>
      <c r="B6" s="1" t="s">
        <v>4</v>
      </c>
      <c r="C6" s="1">
        <v>1870</v>
      </c>
      <c r="D6" s="1">
        <v>1929</v>
      </c>
      <c r="E6" s="1">
        <v>8681</v>
      </c>
      <c r="H6" s="28"/>
      <c r="I6" s="17" t="s">
        <v>9</v>
      </c>
      <c r="J6" s="17">
        <f>D5+E5+D6+E6</f>
        <v>22330</v>
      </c>
      <c r="L6" s="8"/>
      <c r="M6" s="25"/>
      <c r="O6" s="17" t="s">
        <v>10</v>
      </c>
      <c r="P6" s="17">
        <f>J6/(J6+J7)</f>
        <v>0.89463141025641024</v>
      </c>
    </row>
    <row r="7" spans="1:16" x14ac:dyDescent="0.35">
      <c r="F7" s="21">
        <f>C4+C5+C6+D4+D5+D6+E4+E5+E6</f>
        <v>37440</v>
      </c>
      <c r="H7" s="28"/>
      <c r="I7" s="17" t="s">
        <v>11</v>
      </c>
      <c r="J7" s="17">
        <f>C5+C6</f>
        <v>2630</v>
      </c>
      <c r="L7" s="8"/>
      <c r="M7" s="25"/>
      <c r="O7" s="17" t="s">
        <v>12</v>
      </c>
      <c r="P7" s="17">
        <f>J5/(J5+J7)</f>
        <v>0.80421350405717262</v>
      </c>
    </row>
    <row r="8" spans="1:16" x14ac:dyDescent="0.35">
      <c r="H8" s="28"/>
      <c r="I8" s="17" t="s">
        <v>13</v>
      </c>
      <c r="J8" s="17">
        <f>D4+E4</f>
        <v>1677</v>
      </c>
      <c r="L8" s="8"/>
      <c r="M8" s="25"/>
    </row>
    <row r="9" spans="1:16" x14ac:dyDescent="0.35">
      <c r="L9" s="8"/>
      <c r="M9" s="25"/>
    </row>
    <row r="10" spans="1:16" x14ac:dyDescent="0.35">
      <c r="H10" s="27" t="s">
        <v>3</v>
      </c>
      <c r="I10" s="13" t="s">
        <v>6</v>
      </c>
      <c r="J10" s="13">
        <f>D5</f>
        <v>10455</v>
      </c>
      <c r="L10" s="8"/>
      <c r="M10" s="25"/>
      <c r="O10" s="13" t="s">
        <v>8</v>
      </c>
      <c r="P10" s="13">
        <f>J10/(J10+J13)</f>
        <v>0.83774038461538458</v>
      </c>
    </row>
    <row r="11" spans="1:16" x14ac:dyDescent="0.35">
      <c r="H11" s="27"/>
      <c r="I11" s="13" t="s">
        <v>9</v>
      </c>
      <c r="J11" s="13">
        <f>C4+C6+E4+E6</f>
        <v>22752</v>
      </c>
      <c r="L11" s="8"/>
      <c r="M11" s="25"/>
      <c r="O11" s="13" t="s">
        <v>10</v>
      </c>
      <c r="P11" s="13">
        <f>J11/(J11+J12)</f>
        <v>0.91153846153846152</v>
      </c>
    </row>
    <row r="12" spans="1:16" x14ac:dyDescent="0.35">
      <c r="H12" s="27"/>
      <c r="I12" s="13" t="s">
        <v>11</v>
      </c>
      <c r="J12" s="13">
        <f>D4+D6</f>
        <v>2208</v>
      </c>
      <c r="L12" s="8"/>
      <c r="M12" s="25"/>
      <c r="O12" s="13" t="s">
        <v>12</v>
      </c>
      <c r="P12" s="13">
        <f>J10/(J10+J12)</f>
        <v>0.82563373608149726</v>
      </c>
    </row>
    <row r="13" spans="1:16" x14ac:dyDescent="0.35">
      <c r="H13" s="27"/>
      <c r="I13" s="13" t="s">
        <v>13</v>
      </c>
      <c r="J13" s="13">
        <f>C5+E5</f>
        <v>2025</v>
      </c>
      <c r="L13" s="8"/>
      <c r="M13" s="25"/>
    </row>
    <row r="14" spans="1:16" x14ac:dyDescent="0.35">
      <c r="L14" s="8"/>
      <c r="M14" s="25"/>
    </row>
    <row r="15" spans="1:16" x14ac:dyDescent="0.35">
      <c r="L15" s="8"/>
      <c r="M15" s="25"/>
    </row>
    <row r="16" spans="1:16" x14ac:dyDescent="0.35">
      <c r="H16" s="26" t="s">
        <v>15</v>
      </c>
      <c r="I16" s="9" t="s">
        <v>6</v>
      </c>
      <c r="J16" s="9">
        <f>E6</f>
        <v>8681</v>
      </c>
      <c r="L16" s="8"/>
      <c r="M16" s="25"/>
      <c r="O16" s="9" t="s">
        <v>8</v>
      </c>
      <c r="P16" s="9">
        <f>J16/(J16+J19)</f>
        <v>0.69559294871794874</v>
      </c>
    </row>
    <row r="17" spans="1:16" x14ac:dyDescent="0.35">
      <c r="H17" s="26"/>
      <c r="I17" s="9" t="s">
        <v>9</v>
      </c>
      <c r="J17" s="9">
        <f>C4+D4+C5+D5</f>
        <v>22297</v>
      </c>
      <c r="L17" s="8"/>
      <c r="M17" s="25"/>
      <c r="O17" s="9" t="s">
        <v>10</v>
      </c>
      <c r="P17" s="9">
        <f>J17/(J17+J18)</f>
        <v>0.89330929487179489</v>
      </c>
    </row>
    <row r="18" spans="1:16" x14ac:dyDescent="0.35">
      <c r="H18" s="26"/>
      <c r="I18" s="9" t="s">
        <v>11</v>
      </c>
      <c r="J18" s="9">
        <f>E5+E4</f>
        <v>2663</v>
      </c>
      <c r="L18" s="8"/>
      <c r="M18" s="25"/>
      <c r="O18" s="9" t="s">
        <v>12</v>
      </c>
      <c r="P18" s="9">
        <f>J16/(J16+J18)</f>
        <v>0.76525035260930885</v>
      </c>
    </row>
    <row r="19" spans="1:16" x14ac:dyDescent="0.35">
      <c r="H19" s="26"/>
      <c r="I19" s="9" t="s">
        <v>13</v>
      </c>
      <c r="J19" s="9">
        <f>C6+D6</f>
        <v>3799</v>
      </c>
      <c r="L19" s="8"/>
      <c r="M19" s="25"/>
    </row>
    <row r="22" spans="1:16" ht="18.5" x14ac:dyDescent="0.45">
      <c r="A22" s="24" t="s">
        <v>16</v>
      </c>
      <c r="B22" s="24"/>
      <c r="C22" s="24"/>
      <c r="D22" s="24"/>
      <c r="E22" s="24"/>
    </row>
    <row r="23" spans="1:16" x14ac:dyDescent="0.35">
      <c r="C23" s="4" t="s">
        <v>1</v>
      </c>
      <c r="D23" s="4"/>
      <c r="E23" s="4"/>
    </row>
    <row r="24" spans="1:16" x14ac:dyDescent="0.35">
      <c r="B24" s="1"/>
      <c r="C24" s="1" t="s">
        <v>2</v>
      </c>
      <c r="D24" s="1" t="s">
        <v>3</v>
      </c>
      <c r="E24" s="1" t="s">
        <v>15</v>
      </c>
    </row>
    <row r="25" spans="1:16" x14ac:dyDescent="0.35">
      <c r="A25" s="22" t="s">
        <v>5</v>
      </c>
      <c r="B25" s="1" t="s">
        <v>2</v>
      </c>
      <c r="C25" s="1">
        <v>4379</v>
      </c>
      <c r="D25" s="1">
        <v>154</v>
      </c>
      <c r="E25" s="1">
        <v>815</v>
      </c>
    </row>
    <row r="26" spans="1:16" x14ac:dyDescent="0.35">
      <c r="A26" s="22"/>
      <c r="B26" s="1" t="s">
        <v>3</v>
      </c>
      <c r="C26" s="1">
        <v>372</v>
      </c>
      <c r="D26" s="1">
        <v>4278</v>
      </c>
      <c r="E26" s="1">
        <v>698</v>
      </c>
      <c r="H26" s="23" t="s">
        <v>2</v>
      </c>
      <c r="I26" s="17" t="s">
        <v>6</v>
      </c>
      <c r="J26" s="17">
        <f>C25</f>
        <v>4379</v>
      </c>
      <c r="L26" s="8" t="s">
        <v>7</v>
      </c>
      <c r="M26" s="8">
        <f>(((J26+J27)+(J31+J32)+(J37+J38))/(F28*3))</f>
        <v>0.83395661929693343</v>
      </c>
      <c r="O26" s="17" t="s">
        <v>8</v>
      </c>
      <c r="P26" s="19">
        <f>J26/(J26+J29)</f>
        <v>0.818810770381451</v>
      </c>
    </row>
    <row r="27" spans="1:16" x14ac:dyDescent="0.35">
      <c r="A27" s="22"/>
      <c r="B27" s="1" t="s">
        <v>4</v>
      </c>
      <c r="C27" s="1">
        <v>950</v>
      </c>
      <c r="D27" s="1">
        <v>1007</v>
      </c>
      <c r="E27" s="1">
        <v>3391</v>
      </c>
      <c r="H27" s="20"/>
      <c r="I27" s="17" t="s">
        <v>9</v>
      </c>
      <c r="J27" s="17">
        <f>D26+E26+D27+E27</f>
        <v>9374</v>
      </c>
      <c r="L27" s="8"/>
      <c r="M27" s="8"/>
      <c r="O27" s="17" t="s">
        <v>10</v>
      </c>
      <c r="P27" s="19">
        <f>J27/(J27+J28)</f>
        <v>0.87640239341810022</v>
      </c>
    </row>
    <row r="28" spans="1:16" x14ac:dyDescent="0.35">
      <c r="F28" s="21">
        <f>C25+C26+C27+D25+D26+D27+E25+E26+E27</f>
        <v>16044</v>
      </c>
      <c r="H28" s="20"/>
      <c r="I28" s="17" t="s">
        <v>11</v>
      </c>
      <c r="J28" s="17">
        <f>C26+C27</f>
        <v>1322</v>
      </c>
      <c r="L28" s="8"/>
      <c r="M28" s="8"/>
      <c r="O28" s="17" t="s">
        <v>12</v>
      </c>
      <c r="P28" s="19">
        <f>J26/(J26+J28)</f>
        <v>0.76811085774425536</v>
      </c>
    </row>
    <row r="29" spans="1:16" x14ac:dyDescent="0.35">
      <c r="H29" s="18"/>
      <c r="I29" s="17" t="s">
        <v>13</v>
      </c>
      <c r="J29" s="17">
        <f>D25+E25</f>
        <v>969</v>
      </c>
      <c r="L29" s="8"/>
      <c r="M29" s="8"/>
    </row>
    <row r="30" spans="1:16" x14ac:dyDescent="0.35">
      <c r="L30" s="8"/>
      <c r="M30" s="8"/>
    </row>
    <row r="31" spans="1:16" x14ac:dyDescent="0.35">
      <c r="H31" s="16" t="s">
        <v>3</v>
      </c>
      <c r="I31" s="13" t="s">
        <v>6</v>
      </c>
      <c r="J31" s="13">
        <f>D26</f>
        <v>4278</v>
      </c>
      <c r="L31" s="8"/>
      <c r="M31" s="8"/>
      <c r="O31" s="13" t="s">
        <v>8</v>
      </c>
      <c r="P31" s="13">
        <f>J31/(J31+J34)</f>
        <v>0.79992520568436798</v>
      </c>
    </row>
    <row r="32" spans="1:16" x14ac:dyDescent="0.35">
      <c r="H32" s="15"/>
      <c r="I32" s="13" t="s">
        <v>9</v>
      </c>
      <c r="J32" s="13">
        <f>C25+C27+E25+E27</f>
        <v>9535</v>
      </c>
      <c r="L32" s="8"/>
      <c r="M32" s="8"/>
      <c r="O32" s="13" t="s">
        <v>10</v>
      </c>
      <c r="P32" s="13">
        <f>J32/(J32+J33)</f>
        <v>0.89145474943904268</v>
      </c>
    </row>
    <row r="33" spans="8:16" x14ac:dyDescent="0.35">
      <c r="H33" s="15"/>
      <c r="I33" s="13" t="s">
        <v>11</v>
      </c>
      <c r="J33" s="13">
        <f>D25+D27</f>
        <v>1161</v>
      </c>
      <c r="L33" s="8"/>
      <c r="M33" s="8"/>
      <c r="O33" s="13" t="s">
        <v>12</v>
      </c>
      <c r="P33" s="13">
        <f>J31/(J31+J33)</f>
        <v>0.78654164368450086</v>
      </c>
    </row>
    <row r="34" spans="8:16" x14ac:dyDescent="0.35">
      <c r="H34" s="14"/>
      <c r="I34" s="13" t="s">
        <v>13</v>
      </c>
      <c r="J34" s="13">
        <f>C26+E26</f>
        <v>1070</v>
      </c>
      <c r="L34" s="8"/>
      <c r="M34" s="8"/>
    </row>
    <row r="35" spans="8:16" x14ac:dyDescent="0.35">
      <c r="L35" s="8"/>
      <c r="M35" s="8"/>
    </row>
    <row r="36" spans="8:16" x14ac:dyDescent="0.35">
      <c r="L36" s="8"/>
      <c r="M36" s="8"/>
    </row>
    <row r="37" spans="8:16" x14ac:dyDescent="0.35">
      <c r="H37" s="12" t="s">
        <v>15</v>
      </c>
      <c r="I37" s="9" t="s">
        <v>6</v>
      </c>
      <c r="J37" s="9">
        <f>E27</f>
        <v>3391</v>
      </c>
      <c r="L37" s="8"/>
      <c r="M37" s="8"/>
      <c r="O37" s="9" t="s">
        <v>8</v>
      </c>
      <c r="P37" s="9">
        <f>J37/(J37+J40)</f>
        <v>0.63406881077038146</v>
      </c>
    </row>
    <row r="38" spans="8:16" x14ac:dyDescent="0.35">
      <c r="H38" s="11"/>
      <c r="I38" s="9" t="s">
        <v>9</v>
      </c>
      <c r="J38" s="9">
        <f>C25+D25+C26+D26</f>
        <v>9183</v>
      </c>
      <c r="L38" s="8"/>
      <c r="M38" s="8"/>
      <c r="O38" s="9" t="s">
        <v>10</v>
      </c>
      <c r="P38" s="9">
        <f>J38/(J38+J39)</f>
        <v>0.85854525056095732</v>
      </c>
    </row>
    <row r="39" spans="8:16" x14ac:dyDescent="0.35">
      <c r="H39" s="11"/>
      <c r="I39" s="9" t="s">
        <v>11</v>
      </c>
      <c r="J39" s="9">
        <f>E26+E25</f>
        <v>1513</v>
      </c>
      <c r="L39" s="8"/>
      <c r="M39" s="8"/>
      <c r="O39" s="9" t="s">
        <v>12</v>
      </c>
      <c r="P39" s="9">
        <f>J37/(J37+J39)</f>
        <v>0.69147634584013051</v>
      </c>
    </row>
    <row r="40" spans="8:16" x14ac:dyDescent="0.35">
      <c r="H40" s="10"/>
      <c r="I40" s="9" t="s">
        <v>13</v>
      </c>
      <c r="J40" s="9">
        <f>C27+D27</f>
        <v>1957</v>
      </c>
      <c r="L40" s="8"/>
      <c r="M40" s="8"/>
    </row>
  </sheetData>
  <mergeCells count="16">
    <mergeCell ref="H5:H8"/>
    <mergeCell ref="H10:H13"/>
    <mergeCell ref="H16:H19"/>
    <mergeCell ref="H26:H29"/>
    <mergeCell ref="H31:H34"/>
    <mergeCell ref="H37:H40"/>
    <mergeCell ref="C23:E23"/>
    <mergeCell ref="A25:A27"/>
    <mergeCell ref="L26:L40"/>
    <mergeCell ref="M26:M40"/>
    <mergeCell ref="A1:E1"/>
    <mergeCell ref="C2:E2"/>
    <mergeCell ref="A4:A6"/>
    <mergeCell ref="L5:L19"/>
    <mergeCell ref="M5:M19"/>
    <mergeCell ref="A22:E22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40"/>
  <sheetViews>
    <sheetView zoomScale="55" zoomScaleNormal="55" workbookViewId="0">
      <selection activeCell="B43" sqref="B43"/>
    </sheetView>
  </sheetViews>
  <sheetFormatPr defaultRowHeight="14.5" x14ac:dyDescent="0.35"/>
  <cols>
    <col min="15" max="15" width="10.26953125" bestFit="1" customWidth="1"/>
  </cols>
  <sheetData>
    <row r="1" spans="1:16" x14ac:dyDescent="0.35">
      <c r="A1" s="7" t="s">
        <v>0</v>
      </c>
      <c r="B1" s="7"/>
      <c r="C1" s="7"/>
      <c r="D1" s="7"/>
      <c r="E1" s="7"/>
    </row>
    <row r="2" spans="1:16" x14ac:dyDescent="0.35">
      <c r="C2" s="4" t="s">
        <v>1</v>
      </c>
      <c r="D2" s="4"/>
      <c r="E2" s="4"/>
    </row>
    <row r="3" spans="1:16" x14ac:dyDescent="0.35">
      <c r="B3" s="1"/>
      <c r="C3" s="1" t="s">
        <v>2</v>
      </c>
      <c r="D3" s="1" t="s">
        <v>3</v>
      </c>
      <c r="E3" s="1" t="s">
        <v>4</v>
      </c>
    </row>
    <row r="4" spans="1:16" x14ac:dyDescent="0.35">
      <c r="A4" s="5" t="s">
        <v>5</v>
      </c>
      <c r="B4" s="1" t="s">
        <v>2</v>
      </c>
      <c r="C4" s="1">
        <v>10854</v>
      </c>
      <c r="D4" s="1">
        <v>310</v>
      </c>
      <c r="E4" s="1">
        <v>1316</v>
      </c>
    </row>
    <row r="5" spans="1:16" x14ac:dyDescent="0.35">
      <c r="A5" s="5"/>
      <c r="B5" s="1" t="s">
        <v>3</v>
      </c>
      <c r="C5" s="1">
        <v>675</v>
      </c>
      <c r="D5" s="1">
        <v>10646</v>
      </c>
      <c r="E5" s="1">
        <v>1159</v>
      </c>
      <c r="H5" t="s">
        <v>2</v>
      </c>
      <c r="I5" t="s">
        <v>6</v>
      </c>
      <c r="J5">
        <f>C4</f>
        <v>10854</v>
      </c>
      <c r="L5" s="6" t="s">
        <v>7</v>
      </c>
      <c r="M5" s="6">
        <f>(((J5+J6)+(J10+J11)+(J16+J17))/(F7*3))</f>
        <v>0.8711716524216524</v>
      </c>
      <c r="O5" t="s">
        <v>8</v>
      </c>
      <c r="P5" s="1">
        <f>J5/(J5+J8)</f>
        <v>0.86971153846153848</v>
      </c>
    </row>
    <row r="6" spans="1:16" x14ac:dyDescent="0.35">
      <c r="A6" s="5"/>
      <c r="B6" s="1" t="s">
        <v>4</v>
      </c>
      <c r="C6" s="1">
        <v>1828</v>
      </c>
      <c r="D6" s="1">
        <v>1947</v>
      </c>
      <c r="E6" s="1">
        <v>8705</v>
      </c>
      <c r="I6" t="s">
        <v>9</v>
      </c>
      <c r="J6">
        <f>D5+E5+D6+E6</f>
        <v>22457</v>
      </c>
      <c r="L6" s="6"/>
      <c r="M6" s="6"/>
      <c r="O6" t="s">
        <v>10</v>
      </c>
      <c r="P6" s="1">
        <f>J6/(J6+J7)</f>
        <v>0.89971955128205128</v>
      </c>
    </row>
    <row r="7" spans="1:16" x14ac:dyDescent="0.35">
      <c r="F7" s="2">
        <f>C4+C5+C6+D4+D5+D6+E4+E5+E6</f>
        <v>37440</v>
      </c>
      <c r="I7" t="s">
        <v>11</v>
      </c>
      <c r="J7">
        <f>C5+C6</f>
        <v>2503</v>
      </c>
      <c r="L7" s="6"/>
      <c r="M7" s="6"/>
      <c r="O7" t="s">
        <v>12</v>
      </c>
      <c r="P7" s="1">
        <f>J5/(J5+J7)</f>
        <v>0.81260762147188736</v>
      </c>
    </row>
    <row r="8" spans="1:16" x14ac:dyDescent="0.35">
      <c r="I8" t="s">
        <v>13</v>
      </c>
      <c r="J8">
        <f>D4+E4</f>
        <v>1626</v>
      </c>
      <c r="L8" s="6"/>
      <c r="M8" s="6"/>
    </row>
    <row r="9" spans="1:16" x14ac:dyDescent="0.35">
      <c r="L9" s="6"/>
      <c r="M9" s="6"/>
    </row>
    <row r="10" spans="1:16" x14ac:dyDescent="0.35">
      <c r="H10" t="s">
        <v>3</v>
      </c>
      <c r="I10" t="s">
        <v>6</v>
      </c>
      <c r="J10">
        <f>D5</f>
        <v>10646</v>
      </c>
      <c r="L10" s="6"/>
      <c r="M10" s="6"/>
      <c r="O10" t="s">
        <v>8</v>
      </c>
      <c r="P10" s="1">
        <f>J10/(J10+J13)</f>
        <v>0.85304487179487176</v>
      </c>
    </row>
    <row r="11" spans="1:16" x14ac:dyDescent="0.35">
      <c r="I11" t="s">
        <v>9</v>
      </c>
      <c r="J11">
        <f>C4+C6+E4+E6</f>
        <v>22703</v>
      </c>
      <c r="L11" s="6"/>
      <c r="M11" s="6"/>
      <c r="O11" t="s">
        <v>10</v>
      </c>
      <c r="P11" s="1">
        <f>J11/(J11+J12)</f>
        <v>0.90957532051282053</v>
      </c>
    </row>
    <row r="12" spans="1:16" x14ac:dyDescent="0.35">
      <c r="I12" t="s">
        <v>11</v>
      </c>
      <c r="J12">
        <f>D4+D6</f>
        <v>2257</v>
      </c>
      <c r="L12" s="6"/>
      <c r="M12" s="6"/>
      <c r="O12" t="s">
        <v>12</v>
      </c>
      <c r="P12" s="1">
        <f>J10/(J10+J12)</f>
        <v>0.82507943889018054</v>
      </c>
    </row>
    <row r="13" spans="1:16" x14ac:dyDescent="0.35">
      <c r="I13" t="s">
        <v>13</v>
      </c>
      <c r="J13">
        <f>C5+E5</f>
        <v>1834</v>
      </c>
      <c r="L13" s="6"/>
      <c r="M13" s="6"/>
    </row>
    <row r="14" spans="1:16" x14ac:dyDescent="0.35">
      <c r="L14" s="6"/>
      <c r="M14" s="6"/>
    </row>
    <row r="15" spans="1:16" x14ac:dyDescent="0.35">
      <c r="L15" s="6"/>
      <c r="M15" s="6"/>
    </row>
    <row r="16" spans="1:16" x14ac:dyDescent="0.35">
      <c r="H16" t="s">
        <v>4</v>
      </c>
      <c r="I16" t="s">
        <v>6</v>
      </c>
      <c r="J16">
        <f>E6</f>
        <v>8705</v>
      </c>
      <c r="L16" s="6"/>
      <c r="M16" s="6"/>
      <c r="O16" t="s">
        <v>8</v>
      </c>
      <c r="P16" s="1">
        <f>J16/(J16+J19)</f>
        <v>0.69751602564102566</v>
      </c>
    </row>
    <row r="17" spans="1:16" x14ac:dyDescent="0.35">
      <c r="I17" t="s">
        <v>9</v>
      </c>
      <c r="J17">
        <f>C4+D4+C5+D5</f>
        <v>22485</v>
      </c>
      <c r="L17" s="6"/>
      <c r="M17" s="6"/>
      <c r="O17" t="s">
        <v>10</v>
      </c>
      <c r="P17" s="1">
        <f>J17/(J17+J18)</f>
        <v>0.90084134615384615</v>
      </c>
    </row>
    <row r="18" spans="1:16" x14ac:dyDescent="0.35">
      <c r="I18" t="s">
        <v>11</v>
      </c>
      <c r="J18">
        <f>E5+E4</f>
        <v>2475</v>
      </c>
      <c r="L18" s="6"/>
      <c r="M18" s="6"/>
      <c r="O18" t="s">
        <v>12</v>
      </c>
      <c r="P18" s="1">
        <f>J16/(J16+J18)</f>
        <v>0.77862254025044719</v>
      </c>
    </row>
    <row r="19" spans="1:16" x14ac:dyDescent="0.35">
      <c r="I19" t="s">
        <v>13</v>
      </c>
      <c r="J19">
        <f>C6+D6</f>
        <v>3775</v>
      </c>
      <c r="L19" s="6"/>
      <c r="M19" s="6"/>
    </row>
    <row r="22" spans="1:16" x14ac:dyDescent="0.35">
      <c r="A22" s="7" t="s">
        <v>14</v>
      </c>
      <c r="B22" s="7"/>
      <c r="C22" s="7"/>
      <c r="D22" s="7"/>
      <c r="E22" s="7"/>
    </row>
    <row r="23" spans="1:16" x14ac:dyDescent="0.35">
      <c r="C23" s="4" t="s">
        <v>1</v>
      </c>
      <c r="D23" s="4"/>
      <c r="E23" s="4"/>
    </row>
    <row r="24" spans="1:16" x14ac:dyDescent="0.35">
      <c r="B24" s="1"/>
      <c r="C24" s="1" t="s">
        <v>2</v>
      </c>
      <c r="D24" s="1" t="s">
        <v>3</v>
      </c>
      <c r="E24" s="1" t="s">
        <v>4</v>
      </c>
    </row>
    <row r="25" spans="1:16" x14ac:dyDescent="0.35">
      <c r="A25" s="5" t="s">
        <v>5</v>
      </c>
      <c r="B25" s="1" t="s">
        <v>2</v>
      </c>
      <c r="C25" s="1">
        <v>4397</v>
      </c>
      <c r="D25" s="1">
        <v>173</v>
      </c>
      <c r="E25" s="1">
        <v>778</v>
      </c>
    </row>
    <row r="26" spans="1:16" x14ac:dyDescent="0.35">
      <c r="A26" s="5"/>
      <c r="B26" s="1" t="s">
        <v>3</v>
      </c>
      <c r="C26" s="1">
        <v>356</v>
      </c>
      <c r="D26" s="1">
        <v>4322</v>
      </c>
      <c r="E26" s="1">
        <v>670</v>
      </c>
      <c r="H26" t="s">
        <v>2</v>
      </c>
      <c r="I26" t="s">
        <v>6</v>
      </c>
      <c r="J26">
        <f>C25</f>
        <v>4397</v>
      </c>
      <c r="L26" s="6" t="s">
        <v>7</v>
      </c>
      <c r="M26" s="6">
        <f>(((J26+J27)+(J31+J32)+(J37+J38))/(F28*3))</f>
        <v>0.83536940081442701</v>
      </c>
      <c r="O26" t="s">
        <v>8</v>
      </c>
      <c r="P26" s="1">
        <f>J26/(J26+J29)</f>
        <v>0.82217651458489149</v>
      </c>
    </row>
    <row r="27" spans="1:16" x14ac:dyDescent="0.35">
      <c r="A27" s="5"/>
      <c r="B27" s="1" t="s">
        <v>4</v>
      </c>
      <c r="C27" s="1">
        <v>959</v>
      </c>
      <c r="D27" s="1">
        <v>1026</v>
      </c>
      <c r="E27" s="1">
        <v>3363</v>
      </c>
      <c r="I27" t="s">
        <v>9</v>
      </c>
      <c r="J27">
        <f>D26+E26+D27+E27</f>
        <v>9381</v>
      </c>
      <c r="L27" s="6"/>
      <c r="M27" s="6"/>
      <c r="O27" t="s">
        <v>10</v>
      </c>
      <c r="P27" s="1">
        <f>J27/(J27+J28)</f>
        <v>0.87705684367988035</v>
      </c>
    </row>
    <row r="28" spans="1:16" x14ac:dyDescent="0.35">
      <c r="F28" s="2">
        <f>C25+C26+C27+D25+D26+D27+E25+E26+E27</f>
        <v>16044</v>
      </c>
      <c r="I28" t="s">
        <v>11</v>
      </c>
      <c r="J28">
        <f>C26+C27</f>
        <v>1315</v>
      </c>
      <c r="L28" s="6"/>
      <c r="M28" s="6"/>
      <c r="O28" t="s">
        <v>12</v>
      </c>
      <c r="P28" s="1">
        <f>J26/(J26+J28)</f>
        <v>0.76978291316526615</v>
      </c>
    </row>
    <row r="29" spans="1:16" x14ac:dyDescent="0.35">
      <c r="I29" t="s">
        <v>13</v>
      </c>
      <c r="J29">
        <f>D25+E25</f>
        <v>951</v>
      </c>
      <c r="L29" s="6"/>
      <c r="M29" s="6"/>
    </row>
    <row r="30" spans="1:16" x14ac:dyDescent="0.35">
      <c r="L30" s="6"/>
      <c r="M30" s="6"/>
    </row>
    <row r="31" spans="1:16" x14ac:dyDescent="0.35">
      <c r="H31" t="s">
        <v>3</v>
      </c>
      <c r="I31" t="s">
        <v>6</v>
      </c>
      <c r="J31">
        <f>D26</f>
        <v>4322</v>
      </c>
      <c r="L31" s="6"/>
      <c r="M31" s="6"/>
      <c r="O31" t="s">
        <v>8</v>
      </c>
      <c r="P31" s="1">
        <f>J31/(J31+J34)</f>
        <v>0.80815258040388926</v>
      </c>
    </row>
    <row r="32" spans="1:16" x14ac:dyDescent="0.35">
      <c r="I32" t="s">
        <v>9</v>
      </c>
      <c r="J32">
        <f>C25+C27+E25+E27</f>
        <v>9497</v>
      </c>
      <c r="L32" s="6"/>
      <c r="M32" s="6"/>
      <c r="O32" t="s">
        <v>10</v>
      </c>
      <c r="P32" s="1">
        <f>J32/(J32+J33)</f>
        <v>0.88790201944652203</v>
      </c>
    </row>
    <row r="33" spans="8:16" x14ac:dyDescent="0.35">
      <c r="I33" t="s">
        <v>11</v>
      </c>
      <c r="J33">
        <f>D25+D27</f>
        <v>1199</v>
      </c>
      <c r="L33" s="6"/>
      <c r="M33" s="6"/>
      <c r="O33" t="s">
        <v>12</v>
      </c>
      <c r="P33" s="1">
        <f>J31/(J31+J33)</f>
        <v>0.78282919760912884</v>
      </c>
    </row>
    <row r="34" spans="8:16" x14ac:dyDescent="0.35">
      <c r="I34" t="s">
        <v>13</v>
      </c>
      <c r="J34">
        <f>C26+E26</f>
        <v>1026</v>
      </c>
      <c r="L34" s="6"/>
      <c r="M34" s="6"/>
    </row>
    <row r="35" spans="8:16" x14ac:dyDescent="0.35">
      <c r="L35" s="6"/>
      <c r="M35" s="6"/>
    </row>
    <row r="36" spans="8:16" x14ac:dyDescent="0.35">
      <c r="L36" s="6"/>
      <c r="M36" s="6"/>
    </row>
    <row r="37" spans="8:16" x14ac:dyDescent="0.35">
      <c r="H37" t="s">
        <v>4</v>
      </c>
      <c r="I37" t="s">
        <v>6</v>
      </c>
      <c r="J37">
        <f>E27</f>
        <v>3363</v>
      </c>
      <c r="L37" s="6"/>
      <c r="M37" s="6"/>
      <c r="O37" t="s">
        <v>8</v>
      </c>
      <c r="P37" s="1">
        <f>J37/(J37+J40)</f>
        <v>0.62883320867614056</v>
      </c>
    </row>
    <row r="38" spans="8:16" x14ac:dyDescent="0.35">
      <c r="I38" t="s">
        <v>9</v>
      </c>
      <c r="J38">
        <f>C25+D25+C26+D26</f>
        <v>9248</v>
      </c>
      <c r="L38" s="6"/>
      <c r="M38" s="6"/>
      <c r="O38" t="s">
        <v>10</v>
      </c>
      <c r="P38" s="1">
        <f>J38/(J38+J39)</f>
        <v>0.8646222887060584</v>
      </c>
    </row>
    <row r="39" spans="8:16" x14ac:dyDescent="0.35">
      <c r="I39" t="s">
        <v>11</v>
      </c>
      <c r="J39">
        <f>E26+E25</f>
        <v>1448</v>
      </c>
      <c r="L39" s="6"/>
      <c r="M39" s="6"/>
      <c r="O39" t="s">
        <v>12</v>
      </c>
      <c r="P39" s="1">
        <f>J37/(J37+J39)</f>
        <v>0.69902307212637704</v>
      </c>
    </row>
    <row r="40" spans="8:16" x14ac:dyDescent="0.35">
      <c r="I40" t="s">
        <v>13</v>
      </c>
      <c r="J40">
        <f>C27+D27</f>
        <v>1985</v>
      </c>
      <c r="L40" s="6"/>
      <c r="M40" s="6"/>
    </row>
  </sheetData>
  <mergeCells count="10">
    <mergeCell ref="C23:E23"/>
    <mergeCell ref="A25:A27"/>
    <mergeCell ref="L26:L40"/>
    <mergeCell ref="M26:M40"/>
    <mergeCell ref="A1:E1"/>
    <mergeCell ref="C2:E2"/>
    <mergeCell ref="A4:A6"/>
    <mergeCell ref="L5:L19"/>
    <mergeCell ref="M5:M19"/>
    <mergeCell ref="A22:E22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40"/>
  <sheetViews>
    <sheetView tabSelected="1" topLeftCell="A13" zoomScale="70" zoomScaleNormal="70" workbookViewId="0">
      <selection activeCell="N48" sqref="N48"/>
    </sheetView>
  </sheetViews>
  <sheetFormatPr defaultRowHeight="14.5" x14ac:dyDescent="0.35"/>
  <cols>
    <col min="15" max="15" width="10.26953125" bestFit="1" customWidth="1"/>
  </cols>
  <sheetData>
    <row r="1" spans="1:16" x14ac:dyDescent="0.35">
      <c r="A1" s="7" t="s">
        <v>0</v>
      </c>
      <c r="B1" s="7"/>
      <c r="C1" s="7"/>
      <c r="D1" s="7"/>
      <c r="E1" s="7"/>
    </row>
    <row r="2" spans="1:16" x14ac:dyDescent="0.35">
      <c r="C2" s="4" t="s">
        <v>1</v>
      </c>
      <c r="D2" s="4"/>
      <c r="E2" s="4"/>
    </row>
    <row r="3" spans="1:16" x14ac:dyDescent="0.35">
      <c r="B3" s="1"/>
      <c r="C3" s="1" t="s">
        <v>2</v>
      </c>
      <c r="D3" s="1" t="s">
        <v>3</v>
      </c>
      <c r="E3" s="1" t="s">
        <v>4</v>
      </c>
    </row>
    <row r="4" spans="1:16" x14ac:dyDescent="0.35">
      <c r="A4" s="5" t="s">
        <v>5</v>
      </c>
      <c r="B4" s="1" t="s">
        <v>2</v>
      </c>
      <c r="C4" s="1">
        <v>11077</v>
      </c>
      <c r="D4" s="1">
        <v>294</v>
      </c>
      <c r="E4" s="1">
        <v>1109</v>
      </c>
    </row>
    <row r="5" spans="1:16" x14ac:dyDescent="0.35">
      <c r="A5" s="5"/>
      <c r="B5" s="1" t="s">
        <v>3</v>
      </c>
      <c r="C5" s="1">
        <v>535</v>
      </c>
      <c r="D5" s="1">
        <v>10956</v>
      </c>
      <c r="E5" s="1">
        <v>989</v>
      </c>
      <c r="H5" t="s">
        <v>2</v>
      </c>
      <c r="I5" t="s">
        <v>6</v>
      </c>
      <c r="J5">
        <f>C4</f>
        <v>11077</v>
      </c>
      <c r="L5" s="6" t="s">
        <v>7</v>
      </c>
      <c r="M5" s="6">
        <f>(((J5+J6)+(J10+J11)+(J16+J17))/(F7*3))</f>
        <v>0.88415242165242169</v>
      </c>
      <c r="O5" t="s">
        <v>8</v>
      </c>
      <c r="P5" s="1">
        <f>J5/(J5+J8)</f>
        <v>0.88758012820512822</v>
      </c>
    </row>
    <row r="6" spans="1:16" x14ac:dyDescent="0.35">
      <c r="A6" s="5"/>
      <c r="B6" s="1" t="s">
        <v>4</v>
      </c>
      <c r="C6" s="1">
        <v>1642</v>
      </c>
      <c r="D6" s="1">
        <v>1937</v>
      </c>
      <c r="E6" s="1">
        <v>8901</v>
      </c>
      <c r="I6" t="s">
        <v>9</v>
      </c>
      <c r="J6">
        <f>D5+E5+D6+E6</f>
        <v>22783</v>
      </c>
      <c r="L6" s="6"/>
      <c r="M6" s="6"/>
      <c r="O6" t="s">
        <v>10</v>
      </c>
      <c r="P6" s="1">
        <f>J6/(J6+J7)</f>
        <v>0.91278044871794872</v>
      </c>
    </row>
    <row r="7" spans="1:16" x14ac:dyDescent="0.35">
      <c r="F7" s="2">
        <f>C4+C5+C6+D4+D5+D6+E4+E5+E6</f>
        <v>37440</v>
      </c>
      <c r="I7" t="s">
        <v>11</v>
      </c>
      <c r="J7">
        <f>C5+C6</f>
        <v>2177</v>
      </c>
      <c r="L7" s="6"/>
      <c r="M7" s="6"/>
      <c r="O7" t="s">
        <v>12</v>
      </c>
      <c r="P7" s="1">
        <f>J5/(J5+J7)</f>
        <v>0.835747698807907</v>
      </c>
    </row>
    <row r="8" spans="1:16" x14ac:dyDescent="0.35">
      <c r="I8" t="s">
        <v>13</v>
      </c>
      <c r="J8">
        <f>D4+E4</f>
        <v>1403</v>
      </c>
      <c r="L8" s="6"/>
      <c r="M8" s="6"/>
    </row>
    <row r="9" spans="1:16" x14ac:dyDescent="0.35">
      <c r="L9" s="6"/>
      <c r="M9" s="6"/>
    </row>
    <row r="10" spans="1:16" x14ac:dyDescent="0.35">
      <c r="H10" t="s">
        <v>3</v>
      </c>
      <c r="I10" t="s">
        <v>6</v>
      </c>
      <c r="J10">
        <f>D5</f>
        <v>10956</v>
      </c>
      <c r="L10" s="6"/>
      <c r="M10" s="6"/>
      <c r="O10" t="s">
        <v>8</v>
      </c>
      <c r="P10" s="1">
        <f>J10/(J10+J13)</f>
        <v>0.87788461538461537</v>
      </c>
    </row>
    <row r="11" spans="1:16" x14ac:dyDescent="0.35">
      <c r="I11" t="s">
        <v>9</v>
      </c>
      <c r="J11">
        <f>C4+C6+E4+E6</f>
        <v>22729</v>
      </c>
      <c r="L11" s="6"/>
      <c r="M11" s="6"/>
      <c r="O11" t="s">
        <v>10</v>
      </c>
      <c r="P11" s="1">
        <f>J11/(J11+J12)</f>
        <v>0.91061698717948714</v>
      </c>
    </row>
    <row r="12" spans="1:16" x14ac:dyDescent="0.35">
      <c r="I12" t="s">
        <v>11</v>
      </c>
      <c r="J12">
        <f>D4+D6</f>
        <v>2231</v>
      </c>
      <c r="L12" s="6"/>
      <c r="M12" s="6"/>
      <c r="O12" t="s">
        <v>12</v>
      </c>
      <c r="P12" s="1">
        <f>J10/(J10+J12)</f>
        <v>0.83081823007507394</v>
      </c>
    </row>
    <row r="13" spans="1:16" x14ac:dyDescent="0.35">
      <c r="I13" t="s">
        <v>13</v>
      </c>
      <c r="J13">
        <f>C5+E5</f>
        <v>1524</v>
      </c>
      <c r="L13" s="6"/>
      <c r="M13" s="6"/>
    </row>
    <row r="14" spans="1:16" x14ac:dyDescent="0.35">
      <c r="L14" s="6"/>
      <c r="M14" s="6"/>
    </row>
    <row r="15" spans="1:16" x14ac:dyDescent="0.35">
      <c r="L15" s="6"/>
      <c r="M15" s="6"/>
    </row>
    <row r="16" spans="1:16" x14ac:dyDescent="0.35">
      <c r="H16" t="s">
        <v>4</v>
      </c>
      <c r="I16" t="s">
        <v>6</v>
      </c>
      <c r="J16">
        <f>E6</f>
        <v>8901</v>
      </c>
      <c r="L16" s="6"/>
      <c r="M16" s="6"/>
      <c r="O16" t="s">
        <v>8</v>
      </c>
      <c r="P16" s="1">
        <f>J16/(J16+J19)</f>
        <v>0.71322115384615381</v>
      </c>
    </row>
    <row r="17" spans="1:16" x14ac:dyDescent="0.35">
      <c r="I17" t="s">
        <v>9</v>
      </c>
      <c r="J17">
        <f>C4+D4+C5+D5</f>
        <v>22862</v>
      </c>
      <c r="L17" s="6"/>
      <c r="M17" s="6"/>
      <c r="O17" t="s">
        <v>10</v>
      </c>
      <c r="P17" s="1">
        <f>J17/(J17+J18)</f>
        <v>0.91594551282051284</v>
      </c>
    </row>
    <row r="18" spans="1:16" x14ac:dyDescent="0.35">
      <c r="I18" t="s">
        <v>11</v>
      </c>
      <c r="J18">
        <f>E5+E4</f>
        <v>2098</v>
      </c>
      <c r="L18" s="6"/>
      <c r="M18" s="6"/>
      <c r="O18" t="s">
        <v>12</v>
      </c>
      <c r="P18" s="1">
        <f>J16/(J16+J18)</f>
        <v>0.8092553868533503</v>
      </c>
    </row>
    <row r="19" spans="1:16" x14ac:dyDescent="0.35">
      <c r="I19" t="s">
        <v>13</v>
      </c>
      <c r="J19">
        <f>C6+D6</f>
        <v>3579</v>
      </c>
      <c r="L19" s="6"/>
      <c r="M19" s="6"/>
    </row>
    <row r="22" spans="1:16" x14ac:dyDescent="0.35">
      <c r="A22" s="7" t="s">
        <v>14</v>
      </c>
      <c r="B22" s="7"/>
      <c r="C22" s="7"/>
      <c r="D22" s="7"/>
      <c r="E22" s="7"/>
    </row>
    <row r="23" spans="1:16" x14ac:dyDescent="0.35">
      <c r="C23" s="4" t="s">
        <v>1</v>
      </c>
      <c r="D23" s="4"/>
      <c r="E23" s="4"/>
    </row>
    <row r="24" spans="1:16" x14ac:dyDescent="0.35">
      <c r="B24" s="1"/>
      <c r="C24" s="1" t="s">
        <v>2</v>
      </c>
      <c r="D24" s="1" t="s">
        <v>3</v>
      </c>
      <c r="E24" s="1" t="s">
        <v>4</v>
      </c>
    </row>
    <row r="25" spans="1:16" x14ac:dyDescent="0.35">
      <c r="A25" s="5" t="s">
        <v>5</v>
      </c>
      <c r="B25" s="1" t="s">
        <v>2</v>
      </c>
      <c r="C25" s="1">
        <v>4435</v>
      </c>
      <c r="D25" s="1">
        <v>228</v>
      </c>
      <c r="E25" s="1">
        <v>685</v>
      </c>
    </row>
    <row r="26" spans="1:16" x14ac:dyDescent="0.35">
      <c r="A26" s="5"/>
      <c r="B26" s="1" t="s">
        <v>3</v>
      </c>
      <c r="C26" s="1">
        <v>296</v>
      </c>
      <c r="D26" s="1">
        <v>4326</v>
      </c>
      <c r="E26" s="1">
        <v>726</v>
      </c>
      <c r="H26" t="s">
        <v>2</v>
      </c>
      <c r="I26" t="s">
        <v>6</v>
      </c>
      <c r="J26">
        <f>C25</f>
        <v>4435</v>
      </c>
      <c r="L26" s="6" t="s">
        <v>7</v>
      </c>
      <c r="M26" s="6">
        <f>(((J26+J27)+(J31+J32)+(J37+J38))/(F28*3))</f>
        <v>0.83437214327266684</v>
      </c>
      <c r="O26" t="s">
        <v>8</v>
      </c>
      <c r="P26" s="1">
        <f>J26/(J26+J29)</f>
        <v>0.82928197456993269</v>
      </c>
    </row>
    <row r="27" spans="1:16" x14ac:dyDescent="0.35">
      <c r="A27" s="5"/>
      <c r="B27" s="1" t="s">
        <v>4</v>
      </c>
      <c r="C27" s="1">
        <v>905</v>
      </c>
      <c r="D27" s="1">
        <v>1146</v>
      </c>
      <c r="E27" s="1">
        <v>3297</v>
      </c>
      <c r="I27" t="s">
        <v>9</v>
      </c>
      <c r="J27">
        <f>D26+E26+D27+E27</f>
        <v>9495</v>
      </c>
      <c r="L27" s="6"/>
      <c r="M27" s="6"/>
      <c r="O27" t="s">
        <v>10</v>
      </c>
      <c r="P27" s="1">
        <f>J27/(J27+J28)</f>
        <v>0.88771503365744209</v>
      </c>
    </row>
    <row r="28" spans="1:16" x14ac:dyDescent="0.35">
      <c r="F28" s="2">
        <f>C25+C26+C27+D25+D26+D27+E25+E26+E27</f>
        <v>16044</v>
      </c>
      <c r="I28" t="s">
        <v>11</v>
      </c>
      <c r="J28">
        <f>C26+C27</f>
        <v>1201</v>
      </c>
      <c r="L28" s="6"/>
      <c r="M28" s="6"/>
      <c r="O28" t="s">
        <v>12</v>
      </c>
      <c r="P28" s="1">
        <f>J26/(J26+J28)</f>
        <v>0.78690560681334276</v>
      </c>
    </row>
    <row r="29" spans="1:16" x14ac:dyDescent="0.35">
      <c r="I29" t="s">
        <v>13</v>
      </c>
      <c r="J29">
        <f>D25+E25</f>
        <v>913</v>
      </c>
      <c r="L29" s="6"/>
      <c r="M29" s="6"/>
    </row>
    <row r="30" spans="1:16" x14ac:dyDescent="0.35">
      <c r="L30" s="6"/>
      <c r="M30" s="6"/>
    </row>
    <row r="31" spans="1:16" x14ac:dyDescent="0.35">
      <c r="H31" t="s">
        <v>3</v>
      </c>
      <c r="I31" t="s">
        <v>6</v>
      </c>
      <c r="J31">
        <f>D26</f>
        <v>4326</v>
      </c>
      <c r="L31" s="6"/>
      <c r="M31" s="6"/>
      <c r="O31" t="s">
        <v>8</v>
      </c>
      <c r="P31" s="1">
        <f>J31/(J31+J34)</f>
        <v>0.80890052356020947</v>
      </c>
    </row>
    <row r="32" spans="1:16" x14ac:dyDescent="0.35">
      <c r="I32" t="s">
        <v>9</v>
      </c>
      <c r="J32">
        <f>C25+C27+E25+E27</f>
        <v>9322</v>
      </c>
      <c r="L32" s="6"/>
      <c r="M32" s="6"/>
      <c r="O32" t="s">
        <v>10</v>
      </c>
      <c r="P32" s="1">
        <f>J32/(J32+J33)</f>
        <v>0.87154076290201943</v>
      </c>
    </row>
    <row r="33" spans="8:16" x14ac:dyDescent="0.35">
      <c r="I33" t="s">
        <v>11</v>
      </c>
      <c r="J33">
        <f>D25+D27</f>
        <v>1374</v>
      </c>
      <c r="L33" s="6"/>
      <c r="M33" s="6"/>
      <c r="O33" t="s">
        <v>12</v>
      </c>
      <c r="P33" s="1">
        <f>J31/(J31+J33)</f>
        <v>0.75894736842105259</v>
      </c>
    </row>
    <row r="34" spans="8:16" x14ac:dyDescent="0.35">
      <c r="I34" t="s">
        <v>13</v>
      </c>
      <c r="J34">
        <f>C26+E26</f>
        <v>1022</v>
      </c>
      <c r="L34" s="6"/>
      <c r="M34" s="6"/>
    </row>
    <row r="35" spans="8:16" x14ac:dyDescent="0.35">
      <c r="L35" s="6"/>
      <c r="M35" s="6"/>
    </row>
    <row r="36" spans="8:16" x14ac:dyDescent="0.35">
      <c r="L36" s="6"/>
      <c r="M36" s="6"/>
    </row>
    <row r="37" spans="8:16" x14ac:dyDescent="0.35">
      <c r="H37" t="s">
        <v>4</v>
      </c>
      <c r="I37" t="s">
        <v>6</v>
      </c>
      <c r="J37">
        <f>E27</f>
        <v>3297</v>
      </c>
      <c r="L37" s="6"/>
      <c r="M37" s="6"/>
      <c r="O37" t="s">
        <v>8</v>
      </c>
      <c r="P37" s="1">
        <f>J37/(J37+J40)</f>
        <v>0.61649214659685869</v>
      </c>
    </row>
    <row r="38" spans="8:16" x14ac:dyDescent="0.35">
      <c r="I38" t="s">
        <v>9</v>
      </c>
      <c r="J38">
        <f>C25+D25+C26+D26</f>
        <v>9285</v>
      </c>
      <c r="L38" s="6"/>
      <c r="M38" s="6"/>
      <c r="O38" t="s">
        <v>10</v>
      </c>
      <c r="P38" s="1">
        <f>J38/(J38+J39)</f>
        <v>0.86808152580403886</v>
      </c>
    </row>
    <row r="39" spans="8:16" x14ac:dyDescent="0.35">
      <c r="I39" t="s">
        <v>11</v>
      </c>
      <c r="J39">
        <f>E26+E25</f>
        <v>1411</v>
      </c>
      <c r="L39" s="6"/>
      <c r="M39" s="6"/>
      <c r="O39" t="s">
        <v>12</v>
      </c>
      <c r="P39" s="1">
        <f>J37/(J37+J39)</f>
        <v>0.70029736618521665</v>
      </c>
    </row>
    <row r="40" spans="8:16" x14ac:dyDescent="0.35">
      <c r="I40" t="s">
        <v>13</v>
      </c>
      <c r="J40">
        <f>C27+D27</f>
        <v>2051</v>
      </c>
      <c r="L40" s="6"/>
      <c r="M40" s="6"/>
    </row>
  </sheetData>
  <mergeCells count="10">
    <mergeCell ref="C23:E23"/>
    <mergeCell ref="A25:A27"/>
    <mergeCell ref="L26:L40"/>
    <mergeCell ref="M26:M40"/>
    <mergeCell ref="A1:E1"/>
    <mergeCell ref="C2:E2"/>
    <mergeCell ref="A4:A6"/>
    <mergeCell ref="L5:L19"/>
    <mergeCell ref="M5:M19"/>
    <mergeCell ref="A22:E22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40"/>
  <sheetViews>
    <sheetView zoomScale="40" zoomScaleNormal="40" workbookViewId="0">
      <selection activeCell="G41" sqref="G41"/>
    </sheetView>
  </sheetViews>
  <sheetFormatPr defaultRowHeight="14.5" x14ac:dyDescent="0.35"/>
  <cols>
    <col min="15" max="15" width="10.26953125" bestFit="1" customWidth="1"/>
  </cols>
  <sheetData>
    <row r="1" spans="1:16" ht="18.5" x14ac:dyDescent="0.45">
      <c r="A1" s="24" t="s">
        <v>18</v>
      </c>
      <c r="B1" s="24"/>
      <c r="C1" s="24"/>
      <c r="D1" s="24"/>
      <c r="E1" s="24"/>
    </row>
    <row r="2" spans="1:16" x14ac:dyDescent="0.35">
      <c r="C2" s="4" t="s">
        <v>1</v>
      </c>
      <c r="D2" s="4"/>
      <c r="E2" s="4"/>
    </row>
    <row r="3" spans="1:16" x14ac:dyDescent="0.35">
      <c r="B3" s="1"/>
      <c r="C3" s="1" t="s">
        <v>2</v>
      </c>
      <c r="D3" s="1" t="s">
        <v>3</v>
      </c>
      <c r="E3" s="1" t="s">
        <v>15</v>
      </c>
    </row>
    <row r="4" spans="1:16" x14ac:dyDescent="0.35">
      <c r="A4" s="5" t="s">
        <v>5</v>
      </c>
      <c r="B4" s="1" t="s">
        <v>2</v>
      </c>
      <c r="C4" s="1">
        <v>11300</v>
      </c>
      <c r="D4" s="1">
        <v>170</v>
      </c>
      <c r="E4" s="1">
        <v>1010</v>
      </c>
    </row>
    <row r="5" spans="1:16" x14ac:dyDescent="0.35">
      <c r="A5" s="5"/>
      <c r="B5" s="1" t="s">
        <v>3</v>
      </c>
      <c r="C5" s="1">
        <v>659</v>
      </c>
      <c r="D5" s="1">
        <v>10942</v>
      </c>
      <c r="E5" s="1">
        <v>879</v>
      </c>
      <c r="H5" s="23" t="s">
        <v>2</v>
      </c>
      <c r="I5" s="17" t="s">
        <v>6</v>
      </c>
      <c r="J5" s="17">
        <f>C4</f>
        <v>11300</v>
      </c>
      <c r="L5" s="29" t="s">
        <v>7</v>
      </c>
      <c r="M5" s="29">
        <f>(((J5+J6)+(J10+J11)+(J16+J17))/(F7*3))</f>
        <v>0.8848824786324786</v>
      </c>
      <c r="O5" s="17" t="s">
        <v>8</v>
      </c>
      <c r="P5" s="17">
        <f>J5/(J5+J8)</f>
        <v>0.90544871794871795</v>
      </c>
    </row>
    <row r="6" spans="1:16" x14ac:dyDescent="0.35">
      <c r="A6" s="5"/>
      <c r="B6" s="1" t="s">
        <v>15</v>
      </c>
      <c r="C6" s="1">
        <v>1866</v>
      </c>
      <c r="D6" s="1">
        <v>1881</v>
      </c>
      <c r="E6" s="1">
        <v>8733</v>
      </c>
      <c r="H6" s="20"/>
      <c r="I6" s="17" t="s">
        <v>9</v>
      </c>
      <c r="J6" s="17">
        <f>D5+E5+D6+E6</f>
        <v>22435</v>
      </c>
      <c r="L6" s="29"/>
      <c r="M6" s="29"/>
      <c r="O6" s="17" t="s">
        <v>10</v>
      </c>
      <c r="P6" s="17">
        <f>J6/(J6+J7)</f>
        <v>0.89883814102564108</v>
      </c>
    </row>
    <row r="7" spans="1:16" x14ac:dyDescent="0.35">
      <c r="F7" s="21">
        <f>C4+C5+C6+D4+D5+D6+E4+E5+E6</f>
        <v>37440</v>
      </c>
      <c r="H7" s="20"/>
      <c r="I7" s="17" t="s">
        <v>11</v>
      </c>
      <c r="J7" s="17">
        <f>C5+C6</f>
        <v>2525</v>
      </c>
      <c r="L7" s="29"/>
      <c r="M7" s="29"/>
      <c r="O7" s="17" t="s">
        <v>12</v>
      </c>
      <c r="P7" s="17">
        <f>J5/(J5+J7)</f>
        <v>0.81735985533453892</v>
      </c>
    </row>
    <row r="8" spans="1:16" x14ac:dyDescent="0.35">
      <c r="H8" s="18"/>
      <c r="I8" s="17" t="s">
        <v>13</v>
      </c>
      <c r="J8" s="17">
        <f>D4+E4</f>
        <v>1180</v>
      </c>
      <c r="L8" s="29"/>
      <c r="M8" s="29"/>
    </row>
    <row r="9" spans="1:16" x14ac:dyDescent="0.35">
      <c r="L9" s="29"/>
      <c r="M9" s="29"/>
    </row>
    <row r="10" spans="1:16" x14ac:dyDescent="0.35">
      <c r="H10" s="16" t="s">
        <v>3</v>
      </c>
      <c r="I10" s="13" t="s">
        <v>6</v>
      </c>
      <c r="J10" s="13">
        <f>D5</f>
        <v>10942</v>
      </c>
      <c r="L10" s="29"/>
      <c r="M10" s="29"/>
      <c r="O10" s="13" t="s">
        <v>8</v>
      </c>
      <c r="P10" s="13">
        <f>J10/(J10+J13)</f>
        <v>0.87676282051282051</v>
      </c>
    </row>
    <row r="11" spans="1:16" x14ac:dyDescent="0.35">
      <c r="H11" s="15"/>
      <c r="I11" s="13" t="s">
        <v>9</v>
      </c>
      <c r="J11" s="13">
        <f>C4+C6+E4+E6</f>
        <v>22909</v>
      </c>
      <c r="L11" s="29"/>
      <c r="M11" s="29"/>
      <c r="O11" s="13" t="s">
        <v>10</v>
      </c>
      <c r="P11" s="13">
        <f>J11/(J11+J12)</f>
        <v>0.91782852564102568</v>
      </c>
    </row>
    <row r="12" spans="1:16" x14ac:dyDescent="0.35">
      <c r="H12" s="15"/>
      <c r="I12" s="13" t="s">
        <v>11</v>
      </c>
      <c r="J12" s="13">
        <f>D4+D6</f>
        <v>2051</v>
      </c>
      <c r="L12" s="29"/>
      <c r="M12" s="29"/>
      <c r="O12" s="13" t="s">
        <v>12</v>
      </c>
      <c r="P12" s="13">
        <f>J10/(J10+J12)</f>
        <v>0.84214577079966135</v>
      </c>
    </row>
    <row r="13" spans="1:16" x14ac:dyDescent="0.35">
      <c r="H13" s="14"/>
      <c r="I13" s="13" t="s">
        <v>13</v>
      </c>
      <c r="J13" s="13">
        <f>C5+E5</f>
        <v>1538</v>
      </c>
      <c r="L13" s="29"/>
      <c r="M13" s="29"/>
    </row>
    <row r="14" spans="1:16" x14ac:dyDescent="0.35">
      <c r="L14" s="29"/>
      <c r="M14" s="29"/>
    </row>
    <row r="15" spans="1:16" x14ac:dyDescent="0.35">
      <c r="L15" s="29"/>
      <c r="M15" s="29"/>
    </row>
    <row r="16" spans="1:16" x14ac:dyDescent="0.35">
      <c r="H16" s="12" t="s">
        <v>15</v>
      </c>
      <c r="I16" s="9" t="s">
        <v>6</v>
      </c>
      <c r="J16" s="9">
        <f>E6</f>
        <v>8733</v>
      </c>
      <c r="L16" s="29"/>
      <c r="M16" s="29"/>
      <c r="O16" s="9" t="s">
        <v>8</v>
      </c>
      <c r="P16" s="9">
        <f>J16/(J16+J19)</f>
        <v>0.6997596153846154</v>
      </c>
    </row>
    <row r="17" spans="1:16" x14ac:dyDescent="0.35">
      <c r="H17" s="11"/>
      <c r="I17" s="9" t="s">
        <v>9</v>
      </c>
      <c r="J17" s="9">
        <f>C4+D4+C5+D5</f>
        <v>23071</v>
      </c>
      <c r="L17" s="29"/>
      <c r="M17" s="29"/>
      <c r="O17" s="9" t="s">
        <v>10</v>
      </c>
      <c r="P17" s="9">
        <f>J17/(J17+J18)</f>
        <v>0.92431891025641022</v>
      </c>
    </row>
    <row r="18" spans="1:16" x14ac:dyDescent="0.35">
      <c r="H18" s="11"/>
      <c r="I18" s="9" t="s">
        <v>11</v>
      </c>
      <c r="J18" s="9">
        <f>E5+E4</f>
        <v>1889</v>
      </c>
      <c r="L18" s="29"/>
      <c r="M18" s="29"/>
      <c r="O18" s="9" t="s">
        <v>12</v>
      </c>
      <c r="P18" s="9">
        <f>J16/(J16+J18)</f>
        <v>0.82216155149689329</v>
      </c>
    </row>
    <row r="19" spans="1:16" x14ac:dyDescent="0.35">
      <c r="H19" s="10"/>
      <c r="I19" s="9" t="s">
        <v>13</v>
      </c>
      <c r="J19" s="9">
        <f>C6+D6</f>
        <v>3747</v>
      </c>
      <c r="L19" s="29"/>
      <c r="M19" s="29"/>
    </row>
    <row r="22" spans="1:16" ht="18.5" x14ac:dyDescent="0.45">
      <c r="A22" s="24" t="s">
        <v>16</v>
      </c>
      <c r="B22" s="24"/>
      <c r="C22" s="24"/>
      <c r="D22" s="24"/>
      <c r="E22" s="24"/>
    </row>
    <row r="23" spans="1:16" x14ac:dyDescent="0.35">
      <c r="C23" s="4" t="s">
        <v>1</v>
      </c>
      <c r="D23" s="4"/>
      <c r="E23" s="4"/>
    </row>
    <row r="24" spans="1:16" x14ac:dyDescent="0.35">
      <c r="B24" s="1"/>
      <c r="C24" s="1" t="s">
        <v>2</v>
      </c>
      <c r="D24" s="1" t="s">
        <v>3</v>
      </c>
      <c r="E24" s="1" t="s">
        <v>15</v>
      </c>
    </row>
    <row r="25" spans="1:16" x14ac:dyDescent="0.35">
      <c r="A25" s="5" t="s">
        <v>5</v>
      </c>
      <c r="B25" s="1" t="s">
        <v>2</v>
      </c>
      <c r="C25" s="1">
        <v>4556</v>
      </c>
      <c r="D25" s="1">
        <v>127</v>
      </c>
      <c r="E25" s="1">
        <v>665</v>
      </c>
    </row>
    <row r="26" spans="1:16" x14ac:dyDescent="0.35">
      <c r="A26" s="5"/>
      <c r="B26" s="1" t="s">
        <v>3</v>
      </c>
      <c r="C26" s="1">
        <v>329</v>
      </c>
      <c r="D26" s="1">
        <v>4405</v>
      </c>
      <c r="E26" s="1">
        <v>614</v>
      </c>
      <c r="H26" s="23" t="s">
        <v>2</v>
      </c>
      <c r="I26" s="17" t="s">
        <v>6</v>
      </c>
      <c r="J26" s="17">
        <f>C25</f>
        <v>4556</v>
      </c>
      <c r="L26" s="29" t="s">
        <v>7</v>
      </c>
      <c r="M26" s="29">
        <f>(((J26+J27)+(J31+J32)+(J37+J38))/(F28*3))</f>
        <v>0.84239175600432148</v>
      </c>
      <c r="O26" s="17" t="s">
        <v>8</v>
      </c>
      <c r="P26" s="17">
        <f>J26/(J26+J29)</f>
        <v>0.85190725504861631</v>
      </c>
    </row>
    <row r="27" spans="1:16" x14ac:dyDescent="0.35">
      <c r="A27" s="5"/>
      <c r="B27" s="1" t="s">
        <v>15</v>
      </c>
      <c r="C27" s="1">
        <v>1017</v>
      </c>
      <c r="D27" s="1">
        <v>1041</v>
      </c>
      <c r="E27" s="1">
        <v>3290</v>
      </c>
      <c r="H27" s="20"/>
      <c r="I27" s="17" t="s">
        <v>9</v>
      </c>
      <c r="J27" s="17">
        <f>D26+E26+D27+E27</f>
        <v>9350</v>
      </c>
      <c r="L27" s="29"/>
      <c r="M27" s="29"/>
      <c r="O27" s="17" t="s">
        <v>10</v>
      </c>
      <c r="P27" s="17">
        <f>J27/(J27+J28)</f>
        <v>0.87415856394913982</v>
      </c>
    </row>
    <row r="28" spans="1:16" x14ac:dyDescent="0.35">
      <c r="F28" s="2">
        <f>C25+C26+C27+D25+D26+D27+E25+E26+E27</f>
        <v>16044</v>
      </c>
      <c r="H28" s="20"/>
      <c r="I28" s="17" t="s">
        <v>11</v>
      </c>
      <c r="J28" s="17">
        <f>C26+C27</f>
        <v>1346</v>
      </c>
      <c r="L28" s="29"/>
      <c r="M28" s="29"/>
      <c r="O28" s="17" t="s">
        <v>12</v>
      </c>
      <c r="P28" s="17">
        <f>J26/(J26+J28)</f>
        <v>0.77194171467299222</v>
      </c>
    </row>
    <row r="29" spans="1:16" x14ac:dyDescent="0.35">
      <c r="H29" s="18"/>
      <c r="I29" s="17" t="s">
        <v>13</v>
      </c>
      <c r="J29" s="17">
        <f>D25+E25</f>
        <v>792</v>
      </c>
      <c r="L29" s="29"/>
      <c r="M29" s="29"/>
    </row>
    <row r="30" spans="1:16" x14ac:dyDescent="0.35">
      <c r="L30" s="29"/>
      <c r="M30" s="29"/>
    </row>
    <row r="31" spans="1:16" x14ac:dyDescent="0.35">
      <c r="H31" s="16" t="s">
        <v>3</v>
      </c>
      <c r="I31" s="13" t="s">
        <v>6</v>
      </c>
      <c r="J31" s="13">
        <f>D26</f>
        <v>4405</v>
      </c>
      <c r="L31" s="29"/>
      <c r="M31" s="29"/>
      <c r="O31" s="13" t="s">
        <v>8</v>
      </c>
      <c r="P31" s="13">
        <f>J31/(J31+J34)</f>
        <v>0.8236724008975318</v>
      </c>
    </row>
    <row r="32" spans="1:16" x14ac:dyDescent="0.35">
      <c r="H32" s="15"/>
      <c r="I32" s="13" t="s">
        <v>9</v>
      </c>
      <c r="J32" s="13">
        <f>C25+C27+E25+E27</f>
        <v>9528</v>
      </c>
      <c r="L32" s="29"/>
      <c r="M32" s="29"/>
      <c r="O32" s="13" t="s">
        <v>10</v>
      </c>
      <c r="P32" s="13">
        <f>J32/(J32+J33)</f>
        <v>0.89080029917726256</v>
      </c>
    </row>
    <row r="33" spans="8:16" x14ac:dyDescent="0.35">
      <c r="H33" s="15"/>
      <c r="I33" s="13" t="s">
        <v>11</v>
      </c>
      <c r="J33" s="13">
        <f>D25+D27</f>
        <v>1168</v>
      </c>
      <c r="L33" s="29"/>
      <c r="M33" s="29"/>
      <c r="O33" s="13" t="s">
        <v>12</v>
      </c>
      <c r="P33" s="13">
        <f>J31/(J31+J33)</f>
        <v>0.79041808720617257</v>
      </c>
    </row>
    <row r="34" spans="8:16" x14ac:dyDescent="0.35">
      <c r="H34" s="14"/>
      <c r="I34" s="13" t="s">
        <v>13</v>
      </c>
      <c r="J34" s="13">
        <f>C26+E26</f>
        <v>943</v>
      </c>
      <c r="L34" s="29"/>
      <c r="M34" s="29"/>
    </row>
    <row r="35" spans="8:16" x14ac:dyDescent="0.35">
      <c r="L35" s="29"/>
      <c r="M35" s="29"/>
    </row>
    <row r="36" spans="8:16" x14ac:dyDescent="0.35">
      <c r="L36" s="29"/>
      <c r="M36" s="29"/>
    </row>
    <row r="37" spans="8:16" x14ac:dyDescent="0.35">
      <c r="H37" s="12" t="s">
        <v>15</v>
      </c>
      <c r="I37" s="9" t="s">
        <v>6</v>
      </c>
      <c r="J37" s="9">
        <f>E27</f>
        <v>3290</v>
      </c>
      <c r="L37" s="29"/>
      <c r="M37" s="29"/>
      <c r="O37" s="9" t="s">
        <v>8</v>
      </c>
      <c r="P37" s="9">
        <f>J37/(J37+J40)</f>
        <v>0.61518324607329844</v>
      </c>
    </row>
    <row r="38" spans="8:16" x14ac:dyDescent="0.35">
      <c r="H38" s="11"/>
      <c r="I38" s="9" t="s">
        <v>9</v>
      </c>
      <c r="J38" s="9">
        <f>C25+D25+C26+D26</f>
        <v>9417</v>
      </c>
      <c r="L38" s="29"/>
      <c r="M38" s="29"/>
      <c r="O38" s="9" t="s">
        <v>10</v>
      </c>
      <c r="P38" s="9">
        <f>J38/(J38+J39)</f>
        <v>0.88042258788332084</v>
      </c>
    </row>
    <row r="39" spans="8:16" x14ac:dyDescent="0.35">
      <c r="H39" s="11"/>
      <c r="I39" s="9" t="s">
        <v>11</v>
      </c>
      <c r="J39" s="9">
        <f>E26+E25</f>
        <v>1279</v>
      </c>
      <c r="L39" s="29"/>
      <c r="M39" s="29"/>
      <c r="O39" s="9" t="s">
        <v>12</v>
      </c>
      <c r="P39" s="9">
        <f>J37/(J37+J39)</f>
        <v>0.72007003720726637</v>
      </c>
    </row>
    <row r="40" spans="8:16" x14ac:dyDescent="0.35">
      <c r="H40" s="10"/>
      <c r="I40" s="9" t="s">
        <v>13</v>
      </c>
      <c r="J40" s="9">
        <f>C27+D27</f>
        <v>2058</v>
      </c>
      <c r="L40" s="29"/>
      <c r="M40" s="29"/>
    </row>
  </sheetData>
  <mergeCells count="16">
    <mergeCell ref="H5:H8"/>
    <mergeCell ref="H37:H40"/>
    <mergeCell ref="H31:H34"/>
    <mergeCell ref="H26:H29"/>
    <mergeCell ref="H16:H19"/>
    <mergeCell ref="H10:H13"/>
    <mergeCell ref="C23:E23"/>
    <mergeCell ref="A25:A27"/>
    <mergeCell ref="L26:L40"/>
    <mergeCell ref="M26:M40"/>
    <mergeCell ref="A1:E1"/>
    <mergeCell ref="C2:E2"/>
    <mergeCell ref="A4:A6"/>
    <mergeCell ref="L5:L19"/>
    <mergeCell ref="M5:M19"/>
    <mergeCell ref="A22:E22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40"/>
  <sheetViews>
    <sheetView zoomScale="55" zoomScaleNormal="55" workbookViewId="0">
      <selection activeCell="P39" sqref="P39"/>
    </sheetView>
  </sheetViews>
  <sheetFormatPr defaultRowHeight="14.5" x14ac:dyDescent="0.35"/>
  <cols>
    <col min="15" max="15" width="10.26953125" bestFit="1" customWidth="1"/>
  </cols>
  <sheetData>
    <row r="1" spans="1:16" x14ac:dyDescent="0.35">
      <c r="A1" s="7" t="s">
        <v>0</v>
      </c>
      <c r="B1" s="7"/>
      <c r="C1" s="7"/>
      <c r="D1" s="7"/>
      <c r="E1" s="7"/>
    </row>
    <row r="2" spans="1:16" x14ac:dyDescent="0.35">
      <c r="C2" s="4" t="s">
        <v>1</v>
      </c>
      <c r="D2" s="4"/>
      <c r="E2" s="4"/>
    </row>
    <row r="3" spans="1:16" x14ac:dyDescent="0.35">
      <c r="B3" s="1"/>
      <c r="C3" s="1" t="s">
        <v>2</v>
      </c>
      <c r="D3" s="1" t="s">
        <v>3</v>
      </c>
      <c r="E3" s="1" t="s">
        <v>4</v>
      </c>
    </row>
    <row r="4" spans="1:16" x14ac:dyDescent="0.35">
      <c r="A4" s="5" t="s">
        <v>5</v>
      </c>
      <c r="B4" s="1" t="s">
        <v>2</v>
      </c>
      <c r="C4" s="1">
        <v>11296</v>
      </c>
      <c r="D4" s="1">
        <v>196</v>
      </c>
      <c r="E4" s="1">
        <v>988</v>
      </c>
    </row>
    <row r="5" spans="1:16" x14ac:dyDescent="0.35">
      <c r="A5" s="5"/>
      <c r="B5" s="1" t="s">
        <v>3</v>
      </c>
      <c r="C5" s="1">
        <v>477</v>
      </c>
      <c r="D5" s="1">
        <v>11094</v>
      </c>
      <c r="E5" s="1">
        <v>909</v>
      </c>
      <c r="H5" t="s">
        <v>2</v>
      </c>
      <c r="I5" t="s">
        <v>6</v>
      </c>
      <c r="J5">
        <f>C4</f>
        <v>11296</v>
      </c>
      <c r="L5" s="6" t="s">
        <v>7</v>
      </c>
      <c r="M5" s="6">
        <f>(((J5+J6)+(J10+J11)+(J16+J17))/(F7*3))</f>
        <v>0.89216524216524218</v>
      </c>
      <c r="O5" t="s">
        <v>8</v>
      </c>
      <c r="P5" s="1">
        <f>J5/(J5+J8)</f>
        <v>0.90512820512820513</v>
      </c>
    </row>
    <row r="6" spans="1:16" x14ac:dyDescent="0.35">
      <c r="A6" s="5"/>
      <c r="B6" s="1" t="s">
        <v>4</v>
      </c>
      <c r="C6" s="1">
        <v>1731</v>
      </c>
      <c r="D6" s="1">
        <v>1755</v>
      </c>
      <c r="E6" s="1">
        <v>8994</v>
      </c>
      <c r="I6" t="s">
        <v>9</v>
      </c>
      <c r="J6">
        <f>D5+E5+D6+E6</f>
        <v>22752</v>
      </c>
      <c r="L6" s="6"/>
      <c r="M6" s="6"/>
      <c r="O6" t="s">
        <v>10</v>
      </c>
      <c r="P6" s="1">
        <f>J6/(J6+J7)</f>
        <v>0.91153846153846152</v>
      </c>
    </row>
    <row r="7" spans="1:16" x14ac:dyDescent="0.35">
      <c r="F7" s="2">
        <f>C4+C5+C6+D4+D5+D6+E4+E5+E6</f>
        <v>37440</v>
      </c>
      <c r="I7" t="s">
        <v>11</v>
      </c>
      <c r="J7">
        <f>C5+C6</f>
        <v>2208</v>
      </c>
      <c r="L7" s="6"/>
      <c r="M7" s="6"/>
      <c r="O7" t="s">
        <v>12</v>
      </c>
      <c r="P7" s="1">
        <f>J5/(J5+J7)</f>
        <v>0.8364928909952607</v>
      </c>
    </row>
    <row r="8" spans="1:16" x14ac:dyDescent="0.35">
      <c r="I8" t="s">
        <v>13</v>
      </c>
      <c r="J8">
        <f>D4+E4</f>
        <v>1184</v>
      </c>
      <c r="L8" s="6"/>
      <c r="M8" s="6"/>
    </row>
    <row r="9" spans="1:16" x14ac:dyDescent="0.35">
      <c r="L9" s="6"/>
      <c r="M9" s="6"/>
    </row>
    <row r="10" spans="1:16" x14ac:dyDescent="0.35">
      <c r="H10" t="s">
        <v>3</v>
      </c>
      <c r="I10" t="s">
        <v>6</v>
      </c>
      <c r="J10">
        <f>D5</f>
        <v>11094</v>
      </c>
      <c r="L10" s="6"/>
      <c r="M10" s="6"/>
      <c r="O10" t="s">
        <v>8</v>
      </c>
      <c r="P10" s="1">
        <f>J10/(J10+J13)</f>
        <v>0.88894230769230764</v>
      </c>
    </row>
    <row r="11" spans="1:16" x14ac:dyDescent="0.35">
      <c r="I11" t="s">
        <v>9</v>
      </c>
      <c r="J11">
        <f>C4+C6+E4+E6</f>
        <v>23009</v>
      </c>
      <c r="L11" s="6"/>
      <c r="M11" s="6"/>
      <c r="O11" t="s">
        <v>10</v>
      </c>
      <c r="P11" s="1">
        <f>J11/(J11+J12)</f>
        <v>0.92183493589743593</v>
      </c>
    </row>
    <row r="12" spans="1:16" x14ac:dyDescent="0.35">
      <c r="I12" t="s">
        <v>11</v>
      </c>
      <c r="J12">
        <f>D4+D6</f>
        <v>1951</v>
      </c>
      <c r="L12" s="6"/>
      <c r="M12" s="6"/>
      <c r="O12" t="s">
        <v>12</v>
      </c>
      <c r="P12" s="1">
        <f>J10/(J10+J12)</f>
        <v>0.85044078190877725</v>
      </c>
    </row>
    <row r="13" spans="1:16" x14ac:dyDescent="0.35">
      <c r="I13" t="s">
        <v>13</v>
      </c>
      <c r="J13">
        <f>C5+E5</f>
        <v>1386</v>
      </c>
      <c r="L13" s="6"/>
      <c r="M13" s="6"/>
    </row>
    <row r="14" spans="1:16" x14ac:dyDescent="0.35">
      <c r="L14" s="6"/>
      <c r="M14" s="6"/>
    </row>
    <row r="15" spans="1:16" x14ac:dyDescent="0.35">
      <c r="L15" s="6"/>
      <c r="M15" s="6"/>
    </row>
    <row r="16" spans="1:16" x14ac:dyDescent="0.35">
      <c r="H16" t="s">
        <v>4</v>
      </c>
      <c r="I16" t="s">
        <v>6</v>
      </c>
      <c r="J16">
        <f>E6</f>
        <v>8994</v>
      </c>
      <c r="L16" s="6"/>
      <c r="M16" s="6"/>
      <c r="O16" t="s">
        <v>8</v>
      </c>
      <c r="P16" s="1">
        <f>J16/(J16+J19)</f>
        <v>0.72067307692307692</v>
      </c>
    </row>
    <row r="17" spans="1:16" x14ac:dyDescent="0.35">
      <c r="I17" t="s">
        <v>9</v>
      </c>
      <c r="J17">
        <f>C4+D4+C5+D5</f>
        <v>23063</v>
      </c>
      <c r="L17" s="6"/>
      <c r="M17" s="6"/>
      <c r="O17" t="s">
        <v>10</v>
      </c>
      <c r="P17" s="1">
        <f>J17/(J17+J18)</f>
        <v>0.9239983974358974</v>
      </c>
    </row>
    <row r="18" spans="1:16" x14ac:dyDescent="0.35">
      <c r="I18" t="s">
        <v>11</v>
      </c>
      <c r="J18">
        <f>E5+E4</f>
        <v>1897</v>
      </c>
      <c r="L18" s="6"/>
      <c r="M18" s="6"/>
      <c r="O18" t="s">
        <v>12</v>
      </c>
      <c r="P18" s="1">
        <f>J16/(J16+J18)</f>
        <v>0.82581948397759619</v>
      </c>
    </row>
    <row r="19" spans="1:16" x14ac:dyDescent="0.35">
      <c r="I19" t="s">
        <v>13</v>
      </c>
      <c r="J19">
        <f>C6+D6</f>
        <v>3486</v>
      </c>
      <c r="L19" s="6"/>
      <c r="M19" s="6"/>
    </row>
    <row r="22" spans="1:16" x14ac:dyDescent="0.35">
      <c r="A22" s="7" t="s">
        <v>14</v>
      </c>
      <c r="B22" s="7"/>
      <c r="C22" s="7"/>
      <c r="D22" s="7"/>
      <c r="E22" s="7"/>
    </row>
    <row r="23" spans="1:16" x14ac:dyDescent="0.35">
      <c r="C23" s="4" t="s">
        <v>1</v>
      </c>
      <c r="D23" s="4"/>
      <c r="E23" s="4"/>
    </row>
    <row r="24" spans="1:16" x14ac:dyDescent="0.35">
      <c r="B24" s="1"/>
      <c r="C24" s="1" t="s">
        <v>2</v>
      </c>
      <c r="D24" s="1" t="s">
        <v>3</v>
      </c>
      <c r="E24" s="1" t="s">
        <v>4</v>
      </c>
    </row>
    <row r="25" spans="1:16" x14ac:dyDescent="0.35">
      <c r="A25" s="5" t="s">
        <v>5</v>
      </c>
      <c r="B25" s="1" t="s">
        <v>2</v>
      </c>
      <c r="C25" s="1">
        <v>4544</v>
      </c>
      <c r="D25" s="1">
        <v>141</v>
      </c>
      <c r="E25" s="1">
        <v>663</v>
      </c>
    </row>
    <row r="26" spans="1:16" x14ac:dyDescent="0.35">
      <c r="A26" s="5"/>
      <c r="B26" s="1" t="s">
        <v>3</v>
      </c>
      <c r="C26" s="1">
        <v>264</v>
      </c>
      <c r="D26" s="1">
        <v>4408</v>
      </c>
      <c r="E26" s="1">
        <v>676</v>
      </c>
      <c r="H26" t="s">
        <v>2</v>
      </c>
      <c r="I26" t="s">
        <v>6</v>
      </c>
      <c r="J26">
        <f>C25</f>
        <v>4544</v>
      </c>
      <c r="L26" s="6" t="s">
        <v>7</v>
      </c>
      <c r="M26" s="6">
        <f>(((J26+J27)+(J31+J32)+(J37+J38))/(F28*3))</f>
        <v>0.84376298512424164</v>
      </c>
      <c r="O26" t="s">
        <v>8</v>
      </c>
      <c r="P26" s="1">
        <f>J26/(J26+J29)</f>
        <v>0.84966342557965591</v>
      </c>
    </row>
    <row r="27" spans="1:16" x14ac:dyDescent="0.35">
      <c r="A27" s="5"/>
      <c r="B27" s="1" t="s">
        <v>4</v>
      </c>
      <c r="C27" s="1">
        <v>993</v>
      </c>
      <c r="D27" s="1">
        <v>1023</v>
      </c>
      <c r="E27" s="1">
        <v>3332</v>
      </c>
      <c r="I27" t="s">
        <v>9</v>
      </c>
      <c r="J27">
        <f>D26+E26+D27+E27</f>
        <v>9439</v>
      </c>
      <c r="L27" s="6"/>
      <c r="M27" s="6"/>
      <c r="O27" t="s">
        <v>10</v>
      </c>
      <c r="P27" s="1">
        <f>J27/(J27+J28)</f>
        <v>0.88247943156320119</v>
      </c>
    </row>
    <row r="28" spans="1:16" x14ac:dyDescent="0.35">
      <c r="F28" s="2">
        <f>C25+C26+C27+D25+D26+D27+E25+E26+E27</f>
        <v>16044</v>
      </c>
      <c r="I28" t="s">
        <v>11</v>
      </c>
      <c r="J28">
        <f>C26+C27</f>
        <v>1257</v>
      </c>
      <c r="L28" s="6"/>
      <c r="M28" s="6"/>
      <c r="O28" t="s">
        <v>12</v>
      </c>
      <c r="P28" s="1">
        <f>J26/(J26+J28)</f>
        <v>0.78331322185830032</v>
      </c>
    </row>
    <row r="29" spans="1:16" x14ac:dyDescent="0.35">
      <c r="I29" t="s">
        <v>13</v>
      </c>
      <c r="J29">
        <f>D25+E25</f>
        <v>804</v>
      </c>
      <c r="L29" s="6"/>
      <c r="M29" s="6"/>
    </row>
    <row r="30" spans="1:16" x14ac:dyDescent="0.35">
      <c r="L30" s="6"/>
      <c r="M30" s="6"/>
    </row>
    <row r="31" spans="1:16" x14ac:dyDescent="0.35">
      <c r="H31" t="s">
        <v>3</v>
      </c>
      <c r="I31" t="s">
        <v>6</v>
      </c>
      <c r="J31">
        <f>D26</f>
        <v>4408</v>
      </c>
      <c r="L31" s="6"/>
      <c r="M31" s="6"/>
      <c r="O31" t="s">
        <v>8</v>
      </c>
      <c r="P31" s="1">
        <f>J31/(J31+J34)</f>
        <v>0.82423335826477184</v>
      </c>
    </row>
    <row r="32" spans="1:16" x14ac:dyDescent="0.35">
      <c r="I32" t="s">
        <v>9</v>
      </c>
      <c r="J32">
        <f>C25+C27+E25+E27</f>
        <v>9532</v>
      </c>
      <c r="L32" s="6"/>
      <c r="M32" s="6"/>
      <c r="O32" t="s">
        <v>10</v>
      </c>
      <c r="P32" s="1">
        <f>J32/(J32+J33)</f>
        <v>0.89117427075542255</v>
      </c>
    </row>
    <row r="33" spans="8:16" x14ac:dyDescent="0.35">
      <c r="I33" t="s">
        <v>11</v>
      </c>
      <c r="J33">
        <f>D25+D27</f>
        <v>1164</v>
      </c>
      <c r="L33" s="6"/>
      <c r="M33" s="6"/>
      <c r="O33" t="s">
        <v>12</v>
      </c>
      <c r="P33" s="1">
        <f>J31/(J31+J33)</f>
        <v>0.79109834888729358</v>
      </c>
    </row>
    <row r="34" spans="8:16" x14ac:dyDescent="0.35">
      <c r="I34" t="s">
        <v>13</v>
      </c>
      <c r="J34">
        <f>C26+E26</f>
        <v>940</v>
      </c>
      <c r="L34" s="6"/>
      <c r="M34" s="6"/>
    </row>
    <row r="35" spans="8:16" x14ac:dyDescent="0.35">
      <c r="L35" s="6"/>
      <c r="M35" s="6"/>
    </row>
    <row r="36" spans="8:16" x14ac:dyDescent="0.35">
      <c r="L36" s="6"/>
      <c r="M36" s="6"/>
    </row>
    <row r="37" spans="8:16" x14ac:dyDescent="0.35">
      <c r="H37" t="s">
        <v>4</v>
      </c>
      <c r="I37" t="s">
        <v>6</v>
      </c>
      <c r="J37">
        <f>E27</f>
        <v>3332</v>
      </c>
      <c r="L37" s="6"/>
      <c r="M37" s="6"/>
      <c r="O37" t="s">
        <v>8</v>
      </c>
      <c r="P37" s="1">
        <f>J37/(J37+J40)</f>
        <v>0.62303664921465973</v>
      </c>
    </row>
    <row r="38" spans="8:16" x14ac:dyDescent="0.35">
      <c r="I38" t="s">
        <v>9</v>
      </c>
      <c r="J38">
        <f>C25+D25+C26+D26</f>
        <v>9357</v>
      </c>
      <c r="L38" s="6"/>
      <c r="M38" s="6"/>
      <c r="O38" t="s">
        <v>10</v>
      </c>
      <c r="P38" s="1">
        <f>J38/(J38+J39)</f>
        <v>0.87481301421091995</v>
      </c>
    </row>
    <row r="39" spans="8:16" x14ac:dyDescent="0.35">
      <c r="I39" t="s">
        <v>11</v>
      </c>
      <c r="J39">
        <f>E26+E25</f>
        <v>1339</v>
      </c>
      <c r="L39" s="6"/>
      <c r="M39" s="6"/>
      <c r="O39" t="s">
        <v>12</v>
      </c>
      <c r="P39" s="1">
        <f>J37/(J37+J39)</f>
        <v>0.71333761507171911</v>
      </c>
    </row>
    <row r="40" spans="8:16" x14ac:dyDescent="0.35">
      <c r="I40" t="s">
        <v>13</v>
      </c>
      <c r="J40">
        <f>C27+D27</f>
        <v>2016</v>
      </c>
      <c r="L40" s="6"/>
      <c r="M40" s="6"/>
    </row>
  </sheetData>
  <mergeCells count="10">
    <mergeCell ref="C23:E23"/>
    <mergeCell ref="A25:A27"/>
    <mergeCell ref="L26:L40"/>
    <mergeCell ref="M26:M40"/>
    <mergeCell ref="A1:E1"/>
    <mergeCell ref="C2:E2"/>
    <mergeCell ref="A4:A6"/>
    <mergeCell ref="L5:L19"/>
    <mergeCell ref="M5:M19"/>
    <mergeCell ref="A22:E22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40"/>
  <sheetViews>
    <sheetView zoomScale="55" zoomScaleNormal="55" workbookViewId="0">
      <selection activeCell="G30" sqref="G30"/>
    </sheetView>
  </sheetViews>
  <sheetFormatPr defaultRowHeight="14.5" x14ac:dyDescent="0.35"/>
  <cols>
    <col min="15" max="15" width="10.26953125" bestFit="1" customWidth="1"/>
  </cols>
  <sheetData>
    <row r="1" spans="1:16" x14ac:dyDescent="0.35">
      <c r="A1" s="7" t="s">
        <v>0</v>
      </c>
      <c r="B1" s="7"/>
      <c r="C1" s="7"/>
      <c r="D1" s="7"/>
      <c r="E1" s="7"/>
    </row>
    <row r="2" spans="1:16" x14ac:dyDescent="0.35">
      <c r="C2" s="4" t="s">
        <v>1</v>
      </c>
      <c r="D2" s="4"/>
      <c r="E2" s="4"/>
    </row>
    <row r="3" spans="1:16" x14ac:dyDescent="0.35">
      <c r="B3" s="1"/>
      <c r="C3" s="1" t="s">
        <v>2</v>
      </c>
      <c r="D3" s="1" t="s">
        <v>3</v>
      </c>
      <c r="E3" s="1" t="s">
        <v>4</v>
      </c>
    </row>
    <row r="4" spans="1:16" x14ac:dyDescent="0.35">
      <c r="A4" s="5" t="s">
        <v>5</v>
      </c>
      <c r="B4" s="1" t="s">
        <v>2</v>
      </c>
      <c r="C4" s="1">
        <v>11652</v>
      </c>
      <c r="D4" s="1">
        <v>172</v>
      </c>
      <c r="E4" s="1">
        <v>656</v>
      </c>
    </row>
    <row r="5" spans="1:16" x14ac:dyDescent="0.35">
      <c r="A5" s="5"/>
      <c r="B5" s="1" t="s">
        <v>3</v>
      </c>
      <c r="C5" s="1">
        <v>273</v>
      </c>
      <c r="D5" s="1">
        <v>11464</v>
      </c>
      <c r="E5" s="1">
        <v>743</v>
      </c>
      <c r="H5" t="s">
        <v>2</v>
      </c>
      <c r="I5" t="s">
        <v>6</v>
      </c>
      <c r="J5">
        <f>C4</f>
        <v>11652</v>
      </c>
      <c r="L5" s="6" t="s">
        <v>7</v>
      </c>
      <c r="M5" s="6">
        <f>(((J5+J6)+(J10+J11)+(J16+J17))/(F7*3))</f>
        <v>0.91027421652421647</v>
      </c>
      <c r="O5" t="s">
        <v>8</v>
      </c>
      <c r="P5" s="1">
        <f>J5/(J5+J8)</f>
        <v>0.93365384615384617</v>
      </c>
    </row>
    <row r="6" spans="1:16" x14ac:dyDescent="0.35">
      <c r="A6" s="5"/>
      <c r="B6" s="1" t="s">
        <v>4</v>
      </c>
      <c r="C6" s="1">
        <v>1521</v>
      </c>
      <c r="D6" s="1">
        <v>1674</v>
      </c>
      <c r="E6" s="1">
        <v>9285</v>
      </c>
      <c r="I6" t="s">
        <v>9</v>
      </c>
      <c r="J6">
        <f>D5+E5+D6+E6</f>
        <v>23166</v>
      </c>
      <c r="L6" s="6"/>
      <c r="M6" s="6"/>
      <c r="O6" t="s">
        <v>10</v>
      </c>
      <c r="P6" s="1">
        <f>J6/(J6+J7)</f>
        <v>0.92812499999999998</v>
      </c>
    </row>
    <row r="7" spans="1:16" x14ac:dyDescent="0.35">
      <c r="F7" s="2">
        <f>C4+C5+C6+D4+D5+D6+E4+E5+E6</f>
        <v>37440</v>
      </c>
      <c r="I7" t="s">
        <v>11</v>
      </c>
      <c r="J7">
        <f>C5+C6</f>
        <v>1794</v>
      </c>
      <c r="L7" s="6"/>
      <c r="M7" s="6"/>
      <c r="O7" t="s">
        <v>12</v>
      </c>
      <c r="P7" s="1">
        <f>J5/(J5+J7)</f>
        <v>0.86657742079428823</v>
      </c>
    </row>
    <row r="8" spans="1:16" x14ac:dyDescent="0.35">
      <c r="I8" t="s">
        <v>13</v>
      </c>
      <c r="J8">
        <f>D4+E4</f>
        <v>828</v>
      </c>
      <c r="L8" s="6"/>
      <c r="M8" s="6"/>
    </row>
    <row r="9" spans="1:16" x14ac:dyDescent="0.35">
      <c r="L9" s="6"/>
      <c r="M9" s="6"/>
    </row>
    <row r="10" spans="1:16" x14ac:dyDescent="0.35">
      <c r="H10" t="s">
        <v>3</v>
      </c>
      <c r="I10" t="s">
        <v>6</v>
      </c>
      <c r="J10">
        <f>D5</f>
        <v>11464</v>
      </c>
      <c r="L10" s="6"/>
      <c r="M10" s="6"/>
      <c r="O10" t="s">
        <v>8</v>
      </c>
      <c r="P10" s="1">
        <f>J10/(J10+J13)</f>
        <v>0.91858974358974355</v>
      </c>
    </row>
    <row r="11" spans="1:16" x14ac:dyDescent="0.35">
      <c r="I11" t="s">
        <v>9</v>
      </c>
      <c r="J11">
        <f>C4+C6+E4+E6</f>
        <v>23114</v>
      </c>
      <c r="L11" s="6"/>
      <c r="M11" s="6"/>
      <c r="O11" t="s">
        <v>10</v>
      </c>
      <c r="P11" s="1">
        <f>J11/(J11+J12)</f>
        <v>0.92604166666666665</v>
      </c>
    </row>
    <row r="12" spans="1:16" x14ac:dyDescent="0.35">
      <c r="I12" t="s">
        <v>11</v>
      </c>
      <c r="J12">
        <f>D4+D6</f>
        <v>1846</v>
      </c>
      <c r="L12" s="6"/>
      <c r="M12" s="6"/>
      <c r="O12" t="s">
        <v>12</v>
      </c>
      <c r="P12" s="1">
        <f>J10/(J10+J12)</f>
        <v>0.8613072877535688</v>
      </c>
    </row>
    <row r="13" spans="1:16" x14ac:dyDescent="0.35">
      <c r="I13" t="s">
        <v>13</v>
      </c>
      <c r="J13">
        <f>C5+E5</f>
        <v>1016</v>
      </c>
      <c r="L13" s="6"/>
      <c r="M13" s="6"/>
    </row>
    <row r="14" spans="1:16" x14ac:dyDescent="0.35">
      <c r="L14" s="6"/>
      <c r="M14" s="6"/>
    </row>
    <row r="15" spans="1:16" x14ac:dyDescent="0.35">
      <c r="L15" s="6"/>
      <c r="M15" s="6"/>
    </row>
    <row r="16" spans="1:16" x14ac:dyDescent="0.35">
      <c r="H16" t="s">
        <v>4</v>
      </c>
      <c r="I16" t="s">
        <v>6</v>
      </c>
      <c r="J16">
        <f>E6</f>
        <v>9285</v>
      </c>
      <c r="L16" s="6"/>
      <c r="M16" s="6"/>
      <c r="O16" t="s">
        <v>8</v>
      </c>
      <c r="P16" s="1">
        <f>J16/(J16+J19)</f>
        <v>0.74399038461538458</v>
      </c>
    </row>
    <row r="17" spans="1:16" x14ac:dyDescent="0.35">
      <c r="I17" t="s">
        <v>9</v>
      </c>
      <c r="J17">
        <f>C4+D4+C5+D5</f>
        <v>23561</v>
      </c>
      <c r="L17" s="6"/>
      <c r="M17" s="6"/>
      <c r="O17" t="s">
        <v>10</v>
      </c>
      <c r="P17" s="1">
        <f>J17/(J17+J18)</f>
        <v>0.94395032051282046</v>
      </c>
    </row>
    <row r="18" spans="1:16" x14ac:dyDescent="0.35">
      <c r="I18" t="s">
        <v>11</v>
      </c>
      <c r="J18">
        <f>E5+E4</f>
        <v>1399</v>
      </c>
      <c r="L18" s="6"/>
      <c r="M18" s="6"/>
      <c r="O18" t="s">
        <v>12</v>
      </c>
      <c r="P18" s="1">
        <f>J16/(J16+J18)</f>
        <v>0.86905653313365783</v>
      </c>
    </row>
    <row r="19" spans="1:16" x14ac:dyDescent="0.35">
      <c r="I19" t="s">
        <v>13</v>
      </c>
      <c r="J19">
        <f>C6+D6</f>
        <v>3195</v>
      </c>
      <c r="L19" s="6"/>
      <c r="M19" s="6"/>
    </row>
    <row r="22" spans="1:16" x14ac:dyDescent="0.35">
      <c r="A22" s="7" t="s">
        <v>14</v>
      </c>
      <c r="B22" s="7"/>
      <c r="C22" s="7"/>
      <c r="D22" s="7"/>
      <c r="E22" s="7"/>
    </row>
    <row r="23" spans="1:16" x14ac:dyDescent="0.35">
      <c r="C23" s="4" t="s">
        <v>1</v>
      </c>
      <c r="D23" s="4"/>
      <c r="E23" s="4"/>
    </row>
    <row r="24" spans="1:16" x14ac:dyDescent="0.35">
      <c r="B24" s="1"/>
      <c r="C24" s="1" t="s">
        <v>2</v>
      </c>
      <c r="D24" s="1" t="s">
        <v>3</v>
      </c>
      <c r="E24" s="1" t="s">
        <v>4</v>
      </c>
    </row>
    <row r="25" spans="1:16" x14ac:dyDescent="0.35">
      <c r="A25" s="5" t="s">
        <v>5</v>
      </c>
      <c r="B25" s="3" t="s">
        <v>2</v>
      </c>
      <c r="C25" s="3">
        <v>4629</v>
      </c>
      <c r="D25" s="3">
        <v>165</v>
      </c>
      <c r="E25" s="3">
        <v>554</v>
      </c>
    </row>
    <row r="26" spans="1:16" x14ac:dyDescent="0.35">
      <c r="A26" s="5"/>
      <c r="B26" s="3" t="s">
        <v>3</v>
      </c>
      <c r="C26" s="3">
        <v>217</v>
      </c>
      <c r="D26" s="3">
        <v>4482</v>
      </c>
      <c r="E26" s="3">
        <v>649</v>
      </c>
      <c r="H26" t="s">
        <v>2</v>
      </c>
      <c r="I26" t="s">
        <v>6</v>
      </c>
      <c r="J26">
        <f>C25</f>
        <v>4629</v>
      </c>
      <c r="L26" s="6" t="s">
        <v>7</v>
      </c>
      <c r="M26" s="6">
        <f>(((J26+J27)+(J31+J32)+(J37+J38))/(F28*3))</f>
        <v>0.84866616803789574</v>
      </c>
      <c r="O26" t="s">
        <v>8</v>
      </c>
      <c r="P26" s="1">
        <f>J26/(J26+J29)</f>
        <v>0.86555721765145854</v>
      </c>
    </row>
    <row r="27" spans="1:16" x14ac:dyDescent="0.35">
      <c r="A27" s="5"/>
      <c r="B27" s="3" t="s">
        <v>4</v>
      </c>
      <c r="C27" s="3">
        <v>946</v>
      </c>
      <c r="D27" s="3">
        <v>1111</v>
      </c>
      <c r="E27" s="3">
        <v>3291</v>
      </c>
      <c r="I27" t="s">
        <v>9</v>
      </c>
      <c r="J27">
        <f>D26+E26+D27+E27</f>
        <v>9533</v>
      </c>
      <c r="L27" s="6"/>
      <c r="M27" s="6"/>
      <c r="O27" t="s">
        <v>10</v>
      </c>
      <c r="P27" s="1">
        <f>J27/(J27+J28)</f>
        <v>0.89126776364996263</v>
      </c>
    </row>
    <row r="28" spans="1:16" x14ac:dyDescent="0.35">
      <c r="F28" s="2">
        <f>C25+C26+C27+D25+D26+D27+E25+E26+E27</f>
        <v>16044</v>
      </c>
      <c r="I28" t="s">
        <v>11</v>
      </c>
      <c r="J28">
        <f>C26+C27</f>
        <v>1163</v>
      </c>
      <c r="L28" s="6"/>
      <c r="M28" s="6"/>
      <c r="O28" t="s">
        <v>12</v>
      </c>
      <c r="P28" s="1">
        <f>J26/(J26+J28)</f>
        <v>0.79920580110497241</v>
      </c>
    </row>
    <row r="29" spans="1:16" x14ac:dyDescent="0.35">
      <c r="I29" t="s">
        <v>13</v>
      </c>
      <c r="J29">
        <f>D25+E25</f>
        <v>719</v>
      </c>
      <c r="L29" s="6"/>
      <c r="M29" s="6"/>
    </row>
    <row r="30" spans="1:16" x14ac:dyDescent="0.35">
      <c r="L30" s="6"/>
      <c r="M30" s="6"/>
    </row>
    <row r="31" spans="1:16" x14ac:dyDescent="0.35">
      <c r="H31" t="s">
        <v>3</v>
      </c>
      <c r="I31" t="s">
        <v>6</v>
      </c>
      <c r="J31">
        <f>D26</f>
        <v>4482</v>
      </c>
      <c r="L31" s="6"/>
      <c r="M31" s="6"/>
      <c r="O31" t="s">
        <v>8</v>
      </c>
      <c r="P31" s="1">
        <f>J31/(J31+J34)</f>
        <v>0.83807030665669413</v>
      </c>
    </row>
    <row r="32" spans="1:16" x14ac:dyDescent="0.35">
      <c r="I32" t="s">
        <v>9</v>
      </c>
      <c r="J32">
        <f>C25+C27+E25+E27</f>
        <v>9420</v>
      </c>
      <c r="L32" s="6"/>
      <c r="M32" s="6"/>
      <c r="O32" t="s">
        <v>10</v>
      </c>
      <c r="P32" s="1">
        <f>J32/(J32+J33)</f>
        <v>0.88070306656694086</v>
      </c>
    </row>
    <row r="33" spans="8:16" x14ac:dyDescent="0.35">
      <c r="I33" t="s">
        <v>11</v>
      </c>
      <c r="J33">
        <f>D25+D27</f>
        <v>1276</v>
      </c>
      <c r="L33" s="6"/>
      <c r="M33" s="6"/>
      <c r="O33" t="s">
        <v>12</v>
      </c>
      <c r="P33" s="1">
        <f>J31/(J31+J33)</f>
        <v>0.77839527613754778</v>
      </c>
    </row>
    <row r="34" spans="8:16" x14ac:dyDescent="0.35">
      <c r="I34" t="s">
        <v>13</v>
      </c>
      <c r="J34">
        <f>C26+E26</f>
        <v>866</v>
      </c>
      <c r="L34" s="6"/>
      <c r="M34" s="6"/>
    </row>
    <row r="35" spans="8:16" x14ac:dyDescent="0.35">
      <c r="L35" s="6"/>
      <c r="M35" s="6"/>
    </row>
    <row r="36" spans="8:16" x14ac:dyDescent="0.35">
      <c r="L36" s="6"/>
      <c r="M36" s="6"/>
    </row>
    <row r="37" spans="8:16" x14ac:dyDescent="0.35">
      <c r="H37" t="s">
        <v>4</v>
      </c>
      <c r="I37" t="s">
        <v>6</v>
      </c>
      <c r="J37">
        <f>E27</f>
        <v>3291</v>
      </c>
      <c r="L37" s="6"/>
      <c r="M37" s="6"/>
      <c r="O37" t="s">
        <v>8</v>
      </c>
      <c r="P37" s="1">
        <f>J37/(J37+J40)</f>
        <v>0.61537023186237849</v>
      </c>
    </row>
    <row r="38" spans="8:16" x14ac:dyDescent="0.35">
      <c r="I38" t="s">
        <v>9</v>
      </c>
      <c r="J38">
        <f>C25+D25+C26+D26</f>
        <v>9493</v>
      </c>
      <c r="L38" s="6"/>
      <c r="M38" s="6"/>
      <c r="O38" t="s">
        <v>10</v>
      </c>
      <c r="P38" s="1">
        <f>J38/(J38+J39)</f>
        <v>0.88752804786836204</v>
      </c>
    </row>
    <row r="39" spans="8:16" x14ac:dyDescent="0.35">
      <c r="I39" t="s">
        <v>11</v>
      </c>
      <c r="J39">
        <f>E26+E25</f>
        <v>1203</v>
      </c>
      <c r="L39" s="6"/>
      <c r="M39" s="6"/>
      <c r="O39" t="s">
        <v>12</v>
      </c>
      <c r="P39" s="1">
        <f>J37/(J37+J39)</f>
        <v>0.73230974632843793</v>
      </c>
    </row>
    <row r="40" spans="8:16" x14ac:dyDescent="0.35">
      <c r="I40" t="s">
        <v>13</v>
      </c>
      <c r="J40">
        <f>C27+D27</f>
        <v>2057</v>
      </c>
      <c r="L40" s="6"/>
      <c r="M40" s="6"/>
    </row>
  </sheetData>
  <mergeCells count="10">
    <mergeCell ref="C23:E23"/>
    <mergeCell ref="A25:A27"/>
    <mergeCell ref="L26:L40"/>
    <mergeCell ref="M26:M40"/>
    <mergeCell ref="A1:E1"/>
    <mergeCell ref="C2:E2"/>
    <mergeCell ref="A4:A6"/>
    <mergeCell ref="L5:L19"/>
    <mergeCell ref="M5:M19"/>
    <mergeCell ref="A22:E2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Attributes maxd 15</vt:lpstr>
      <vt:lpstr>All Attributes maxd 18</vt:lpstr>
      <vt:lpstr>All Attributes maxd 18 - binned</vt:lpstr>
      <vt:lpstr> Selected Attributes maxd15</vt:lpstr>
      <vt:lpstr>Selected Attributes md 18</vt:lpstr>
      <vt:lpstr>Selected Attr md 18 - binned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Jivko Uzoff</dc:creator>
  <cp:lastModifiedBy>Jivko Uzoff</cp:lastModifiedBy>
  <dcterms:created xsi:type="dcterms:W3CDTF">2024-11-22T20:57:42Z</dcterms:created>
  <dcterms:modified xsi:type="dcterms:W3CDTF">2024-11-29T20:16:37Z</dcterms:modified>
</cp:coreProperties>
</file>